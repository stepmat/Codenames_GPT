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inders-my.sharepoint.com/personal/step0330_flinders_edu_au/Documents/Presentations/COG (2025)/Codenames AI Competition 2025 (code and results)/Codenames_GPT-master/codenames/results/single team (mixed pairs) (seed 0)/"/>
    </mc:Choice>
  </mc:AlternateContent>
  <xr:revisionPtr revIDLastSave="97" documentId="13_ncr:9_{EF81B858-6807-46EF-B46D-B426B82C9647}" xr6:coauthVersionLast="47" xr6:coauthVersionMax="47" xr10:uidLastSave="{D8BE7C94-3D4E-44D8-9325-847B0A5F6366}"/>
  <bookViews>
    <workbookView xWindow="-110" yWindow="-110" windowWidth="19420" windowHeight="10420" xr2:uid="{2D1940D0-69B3-48FF-AAFA-99964999FFD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3" i="1"/>
  <c r="AF14" i="1"/>
  <c r="AF15" i="1"/>
  <c r="AF16" i="1"/>
  <c r="AF17" i="1"/>
  <c r="AF18" i="1"/>
  <c r="AF19" i="1"/>
  <c r="AF20" i="1"/>
  <c r="AF3" i="1"/>
  <c r="AE14" i="1"/>
  <c r="AE15" i="1"/>
  <c r="AE16" i="1"/>
  <c r="AE17" i="1"/>
  <c r="AE18" i="1"/>
  <c r="AE19" i="1"/>
  <c r="AE20" i="1"/>
  <c r="AE13" i="1"/>
  <c r="AE4" i="1"/>
  <c r="AE5" i="1"/>
  <c r="AE6" i="1"/>
  <c r="AE7" i="1"/>
  <c r="AE8" i="1"/>
  <c r="AE9" i="1"/>
  <c r="AE10" i="1"/>
  <c r="AE3" i="1"/>
  <c r="X65" i="1"/>
  <c r="T65" i="1"/>
  <c r="S65" i="1"/>
  <c r="R65" i="1"/>
  <c r="Q65" i="1"/>
  <c r="P65" i="1"/>
  <c r="O65" i="1"/>
  <c r="N65" i="1"/>
  <c r="M65" i="1"/>
  <c r="K65" i="1"/>
  <c r="J65" i="1"/>
  <c r="I65" i="1"/>
  <c r="H65" i="1"/>
  <c r="G65" i="1"/>
  <c r="F65" i="1"/>
  <c r="E65" i="1"/>
  <c r="D65" i="1"/>
  <c r="X64" i="1"/>
  <c r="T64" i="1"/>
  <c r="S64" i="1"/>
  <c r="R64" i="1"/>
  <c r="Q64" i="1"/>
  <c r="P64" i="1"/>
  <c r="O64" i="1"/>
  <c r="N64" i="1"/>
  <c r="M64" i="1"/>
  <c r="K64" i="1"/>
  <c r="J64" i="1"/>
  <c r="I64" i="1"/>
  <c r="H64" i="1"/>
  <c r="G64" i="1"/>
  <c r="F64" i="1"/>
  <c r="E64" i="1"/>
  <c r="D64" i="1"/>
  <c r="X63" i="1"/>
  <c r="T63" i="1"/>
  <c r="S63" i="1"/>
  <c r="R63" i="1"/>
  <c r="Q63" i="1"/>
  <c r="P63" i="1"/>
  <c r="O63" i="1"/>
  <c r="N63" i="1"/>
  <c r="M63" i="1"/>
  <c r="K63" i="1"/>
  <c r="J63" i="1"/>
  <c r="I63" i="1"/>
  <c r="H63" i="1"/>
  <c r="G63" i="1"/>
  <c r="F63" i="1"/>
  <c r="E63" i="1"/>
  <c r="D63" i="1"/>
  <c r="X62" i="1"/>
  <c r="T62" i="1"/>
  <c r="S62" i="1"/>
  <c r="R62" i="1"/>
  <c r="Q62" i="1"/>
  <c r="P62" i="1"/>
  <c r="O62" i="1"/>
  <c r="N62" i="1"/>
  <c r="M62" i="1"/>
  <c r="K62" i="1"/>
  <c r="J62" i="1"/>
  <c r="I62" i="1"/>
  <c r="H62" i="1"/>
  <c r="G62" i="1"/>
  <c r="F62" i="1"/>
  <c r="E62" i="1"/>
  <c r="D62" i="1"/>
  <c r="X61" i="1"/>
  <c r="T61" i="1"/>
  <c r="S61" i="1"/>
  <c r="R61" i="1"/>
  <c r="Q61" i="1"/>
  <c r="P61" i="1"/>
  <c r="O61" i="1"/>
  <c r="N61" i="1"/>
  <c r="M61" i="1"/>
  <c r="K61" i="1"/>
  <c r="J61" i="1"/>
  <c r="I61" i="1"/>
  <c r="H61" i="1"/>
  <c r="G61" i="1"/>
  <c r="F61" i="1"/>
  <c r="E61" i="1"/>
  <c r="D61" i="1"/>
  <c r="X60" i="1"/>
  <c r="T60" i="1"/>
  <c r="S60" i="1"/>
  <c r="R60" i="1"/>
  <c r="Q60" i="1"/>
  <c r="P60" i="1"/>
  <c r="O60" i="1"/>
  <c r="N60" i="1"/>
  <c r="M60" i="1"/>
  <c r="K60" i="1"/>
  <c r="J60" i="1"/>
  <c r="I60" i="1"/>
  <c r="H60" i="1"/>
  <c r="G60" i="1"/>
  <c r="F60" i="1"/>
  <c r="E60" i="1"/>
  <c r="D60" i="1"/>
  <c r="X59" i="1"/>
  <c r="T59" i="1"/>
  <c r="S59" i="1"/>
  <c r="R59" i="1"/>
  <c r="Q59" i="1"/>
  <c r="P59" i="1"/>
  <c r="O59" i="1"/>
  <c r="N59" i="1"/>
  <c r="M59" i="1"/>
  <c r="K59" i="1"/>
  <c r="J59" i="1"/>
  <c r="I59" i="1"/>
  <c r="H59" i="1"/>
  <c r="G59" i="1"/>
  <c r="F59" i="1"/>
  <c r="E59" i="1"/>
  <c r="D59" i="1"/>
  <c r="X58" i="1"/>
  <c r="T58" i="1"/>
  <c r="S58" i="1"/>
  <c r="R58" i="1"/>
  <c r="Q58" i="1"/>
  <c r="P58" i="1"/>
  <c r="O58" i="1"/>
  <c r="N58" i="1"/>
  <c r="M58" i="1"/>
  <c r="K58" i="1"/>
  <c r="J58" i="1"/>
  <c r="I58" i="1"/>
  <c r="H58" i="1"/>
  <c r="G58" i="1"/>
  <c r="F58" i="1"/>
  <c r="E58" i="1"/>
  <c r="D58" i="1"/>
  <c r="X57" i="1"/>
  <c r="T57" i="1"/>
  <c r="S57" i="1"/>
  <c r="R57" i="1"/>
  <c r="Q57" i="1"/>
  <c r="P57" i="1"/>
  <c r="O57" i="1"/>
  <c r="N57" i="1"/>
  <c r="M57" i="1"/>
  <c r="K57" i="1"/>
  <c r="J57" i="1"/>
  <c r="I57" i="1"/>
  <c r="H57" i="1"/>
  <c r="G57" i="1"/>
  <c r="F57" i="1"/>
  <c r="E57" i="1"/>
  <c r="D57" i="1"/>
  <c r="X56" i="1"/>
  <c r="T56" i="1"/>
  <c r="S56" i="1"/>
  <c r="R56" i="1"/>
  <c r="Q56" i="1"/>
  <c r="P56" i="1"/>
  <c r="O56" i="1"/>
  <c r="N56" i="1"/>
  <c r="M56" i="1"/>
  <c r="K56" i="1"/>
  <c r="J56" i="1"/>
  <c r="I56" i="1"/>
  <c r="H56" i="1"/>
  <c r="G56" i="1"/>
  <c r="F56" i="1"/>
  <c r="E56" i="1"/>
  <c r="D56" i="1"/>
  <c r="X55" i="1"/>
  <c r="T55" i="1"/>
  <c r="S55" i="1"/>
  <c r="R55" i="1"/>
  <c r="Q55" i="1"/>
  <c r="P55" i="1"/>
  <c r="O55" i="1"/>
  <c r="N55" i="1"/>
  <c r="M55" i="1"/>
  <c r="K55" i="1"/>
  <c r="J55" i="1"/>
  <c r="I55" i="1"/>
  <c r="H55" i="1"/>
  <c r="G55" i="1"/>
  <c r="F55" i="1"/>
  <c r="E55" i="1"/>
  <c r="D55" i="1"/>
  <c r="X54" i="1"/>
  <c r="T54" i="1"/>
  <c r="S54" i="1"/>
  <c r="R54" i="1"/>
  <c r="Q54" i="1"/>
  <c r="P54" i="1"/>
  <c r="O54" i="1"/>
  <c r="N54" i="1"/>
  <c r="M54" i="1"/>
  <c r="K54" i="1"/>
  <c r="J54" i="1"/>
  <c r="I54" i="1"/>
  <c r="H54" i="1"/>
  <c r="G54" i="1"/>
  <c r="F54" i="1"/>
  <c r="E54" i="1"/>
  <c r="D54" i="1"/>
  <c r="X53" i="1"/>
  <c r="T53" i="1"/>
  <c r="S53" i="1"/>
  <c r="R53" i="1"/>
  <c r="Q53" i="1"/>
  <c r="P53" i="1"/>
  <c r="O53" i="1"/>
  <c r="N53" i="1"/>
  <c r="M53" i="1"/>
  <c r="K53" i="1"/>
  <c r="J53" i="1"/>
  <c r="I53" i="1"/>
  <c r="H53" i="1"/>
  <c r="G53" i="1"/>
  <c r="F53" i="1"/>
  <c r="E53" i="1"/>
  <c r="D53" i="1"/>
  <c r="X52" i="1"/>
  <c r="T52" i="1"/>
  <c r="S52" i="1"/>
  <c r="R52" i="1"/>
  <c r="Q52" i="1"/>
  <c r="P52" i="1"/>
  <c r="O52" i="1"/>
  <c r="N52" i="1"/>
  <c r="M52" i="1"/>
  <c r="K52" i="1"/>
  <c r="J52" i="1"/>
  <c r="I52" i="1"/>
  <c r="H52" i="1"/>
  <c r="G52" i="1"/>
  <c r="F52" i="1"/>
  <c r="E52" i="1"/>
  <c r="D52" i="1"/>
  <c r="X51" i="1"/>
  <c r="T51" i="1"/>
  <c r="S51" i="1"/>
  <c r="R51" i="1"/>
  <c r="Q51" i="1"/>
  <c r="P51" i="1"/>
  <c r="O51" i="1"/>
  <c r="N51" i="1"/>
  <c r="M51" i="1"/>
  <c r="K51" i="1"/>
  <c r="J51" i="1"/>
  <c r="I51" i="1"/>
  <c r="H51" i="1"/>
  <c r="G51" i="1"/>
  <c r="F51" i="1"/>
  <c r="E51" i="1"/>
  <c r="D51" i="1"/>
  <c r="X50" i="1"/>
  <c r="T50" i="1"/>
  <c r="S50" i="1"/>
  <c r="R50" i="1"/>
  <c r="Q50" i="1"/>
  <c r="P50" i="1"/>
  <c r="O50" i="1"/>
  <c r="N50" i="1"/>
  <c r="M50" i="1"/>
  <c r="K50" i="1"/>
  <c r="J50" i="1"/>
  <c r="I50" i="1"/>
  <c r="H50" i="1"/>
  <c r="G50" i="1"/>
  <c r="F50" i="1"/>
  <c r="E50" i="1"/>
  <c r="D50" i="1"/>
  <c r="X49" i="1"/>
  <c r="T49" i="1"/>
  <c r="S49" i="1"/>
  <c r="R49" i="1"/>
  <c r="Q49" i="1"/>
  <c r="P49" i="1"/>
  <c r="O49" i="1"/>
  <c r="N49" i="1"/>
  <c r="M49" i="1"/>
  <c r="K49" i="1"/>
  <c r="J49" i="1"/>
  <c r="I49" i="1"/>
  <c r="H49" i="1"/>
  <c r="G49" i="1"/>
  <c r="F49" i="1"/>
  <c r="E49" i="1"/>
  <c r="D49" i="1"/>
  <c r="X48" i="1"/>
  <c r="T48" i="1"/>
  <c r="S48" i="1"/>
  <c r="R48" i="1"/>
  <c r="Q48" i="1"/>
  <c r="P48" i="1"/>
  <c r="O48" i="1"/>
  <c r="N48" i="1"/>
  <c r="M48" i="1"/>
  <c r="K48" i="1"/>
  <c r="J48" i="1"/>
  <c r="I48" i="1"/>
  <c r="H48" i="1"/>
  <c r="G48" i="1"/>
  <c r="F48" i="1"/>
  <c r="E48" i="1"/>
  <c r="D48" i="1"/>
  <c r="X47" i="1"/>
  <c r="T47" i="1"/>
  <c r="S47" i="1"/>
  <c r="R47" i="1"/>
  <c r="Q47" i="1"/>
  <c r="P47" i="1"/>
  <c r="O47" i="1"/>
  <c r="N47" i="1"/>
  <c r="M47" i="1"/>
  <c r="K47" i="1"/>
  <c r="J47" i="1"/>
  <c r="I47" i="1"/>
  <c r="H47" i="1"/>
  <c r="G47" i="1"/>
  <c r="F47" i="1"/>
  <c r="E47" i="1"/>
  <c r="D47" i="1"/>
  <c r="X46" i="1"/>
  <c r="T46" i="1"/>
  <c r="S46" i="1"/>
  <c r="R46" i="1"/>
  <c r="Q46" i="1"/>
  <c r="P46" i="1"/>
  <c r="O46" i="1"/>
  <c r="N46" i="1"/>
  <c r="M46" i="1"/>
  <c r="K46" i="1"/>
  <c r="J46" i="1"/>
  <c r="I46" i="1"/>
  <c r="H46" i="1"/>
  <c r="G46" i="1"/>
  <c r="F46" i="1"/>
  <c r="E46" i="1"/>
  <c r="D46" i="1"/>
  <c r="X45" i="1"/>
  <c r="T45" i="1"/>
  <c r="S45" i="1"/>
  <c r="R45" i="1"/>
  <c r="Q45" i="1"/>
  <c r="P45" i="1"/>
  <c r="O45" i="1"/>
  <c r="N45" i="1"/>
  <c r="M45" i="1"/>
  <c r="K45" i="1"/>
  <c r="J45" i="1"/>
  <c r="I45" i="1"/>
  <c r="H45" i="1"/>
  <c r="G45" i="1"/>
  <c r="F45" i="1"/>
  <c r="E45" i="1"/>
  <c r="D45" i="1"/>
  <c r="X44" i="1"/>
  <c r="T44" i="1"/>
  <c r="S44" i="1"/>
  <c r="R44" i="1"/>
  <c r="Q44" i="1"/>
  <c r="P44" i="1"/>
  <c r="O44" i="1"/>
  <c r="N44" i="1"/>
  <c r="M44" i="1"/>
  <c r="K44" i="1"/>
  <c r="J44" i="1"/>
  <c r="I44" i="1"/>
  <c r="H44" i="1"/>
  <c r="G44" i="1"/>
  <c r="F44" i="1"/>
  <c r="E44" i="1"/>
  <c r="D44" i="1"/>
  <c r="X43" i="1"/>
  <c r="T43" i="1"/>
  <c r="S43" i="1"/>
  <c r="R43" i="1"/>
  <c r="Q43" i="1"/>
  <c r="P43" i="1"/>
  <c r="O43" i="1"/>
  <c r="N43" i="1"/>
  <c r="M43" i="1"/>
  <c r="K43" i="1"/>
  <c r="J43" i="1"/>
  <c r="I43" i="1"/>
  <c r="H43" i="1"/>
  <c r="G43" i="1"/>
  <c r="F43" i="1"/>
  <c r="E43" i="1"/>
  <c r="D43" i="1"/>
  <c r="X42" i="1"/>
  <c r="T42" i="1"/>
  <c r="S42" i="1"/>
  <c r="R42" i="1"/>
  <c r="Q42" i="1"/>
  <c r="P42" i="1"/>
  <c r="O42" i="1"/>
  <c r="N42" i="1"/>
  <c r="M42" i="1"/>
  <c r="K42" i="1"/>
  <c r="J42" i="1"/>
  <c r="I42" i="1"/>
  <c r="H42" i="1"/>
  <c r="G42" i="1"/>
  <c r="F42" i="1"/>
  <c r="E42" i="1"/>
  <c r="D42" i="1"/>
  <c r="X41" i="1"/>
  <c r="T41" i="1"/>
  <c r="S41" i="1"/>
  <c r="R41" i="1"/>
  <c r="Q41" i="1"/>
  <c r="P41" i="1"/>
  <c r="O41" i="1"/>
  <c r="N41" i="1"/>
  <c r="M41" i="1"/>
  <c r="K41" i="1"/>
  <c r="J41" i="1"/>
  <c r="I41" i="1"/>
  <c r="H41" i="1"/>
  <c r="G41" i="1"/>
  <c r="F41" i="1"/>
  <c r="E41" i="1"/>
  <c r="D41" i="1"/>
  <c r="X40" i="1"/>
  <c r="T40" i="1"/>
  <c r="S40" i="1"/>
  <c r="R40" i="1"/>
  <c r="Q40" i="1"/>
  <c r="P40" i="1"/>
  <c r="O40" i="1"/>
  <c r="N40" i="1"/>
  <c r="M40" i="1"/>
  <c r="K40" i="1"/>
  <c r="J40" i="1"/>
  <c r="I40" i="1"/>
  <c r="H40" i="1"/>
  <c r="G40" i="1"/>
  <c r="F40" i="1"/>
  <c r="E40" i="1"/>
  <c r="D40" i="1"/>
  <c r="X39" i="1"/>
  <c r="T39" i="1"/>
  <c r="S39" i="1"/>
  <c r="R39" i="1"/>
  <c r="Q39" i="1"/>
  <c r="P39" i="1"/>
  <c r="O39" i="1"/>
  <c r="N39" i="1"/>
  <c r="M39" i="1"/>
  <c r="K39" i="1"/>
  <c r="J39" i="1"/>
  <c r="I39" i="1"/>
  <c r="H39" i="1"/>
  <c r="G39" i="1"/>
  <c r="F39" i="1"/>
  <c r="E39" i="1"/>
  <c r="D39" i="1"/>
  <c r="X38" i="1"/>
  <c r="T38" i="1"/>
  <c r="S38" i="1"/>
  <c r="R38" i="1"/>
  <c r="Q38" i="1"/>
  <c r="P38" i="1"/>
  <c r="O38" i="1"/>
  <c r="N38" i="1"/>
  <c r="M38" i="1"/>
  <c r="K38" i="1"/>
  <c r="J38" i="1"/>
  <c r="I38" i="1"/>
  <c r="H38" i="1"/>
  <c r="G38" i="1"/>
  <c r="F38" i="1"/>
  <c r="E38" i="1"/>
  <c r="D38" i="1"/>
  <c r="X37" i="1"/>
  <c r="T37" i="1"/>
  <c r="S37" i="1"/>
  <c r="R37" i="1"/>
  <c r="Q37" i="1"/>
  <c r="P37" i="1"/>
  <c r="O37" i="1"/>
  <c r="N37" i="1"/>
  <c r="M37" i="1"/>
  <c r="K37" i="1"/>
  <c r="J37" i="1"/>
  <c r="I37" i="1"/>
  <c r="H37" i="1"/>
  <c r="G37" i="1"/>
  <c r="F37" i="1"/>
  <c r="E37" i="1"/>
  <c r="D37" i="1"/>
  <c r="X36" i="1"/>
  <c r="T36" i="1"/>
  <c r="S36" i="1"/>
  <c r="R36" i="1"/>
  <c r="Q36" i="1"/>
  <c r="P36" i="1"/>
  <c r="O36" i="1"/>
  <c r="N36" i="1"/>
  <c r="M36" i="1"/>
  <c r="K36" i="1"/>
  <c r="J36" i="1"/>
  <c r="I36" i="1"/>
  <c r="H36" i="1"/>
  <c r="G36" i="1"/>
  <c r="F36" i="1"/>
  <c r="E36" i="1"/>
  <c r="D36" i="1"/>
  <c r="X35" i="1"/>
  <c r="T35" i="1"/>
  <c r="S35" i="1"/>
  <c r="R35" i="1"/>
  <c r="Q35" i="1"/>
  <c r="P35" i="1"/>
  <c r="O35" i="1"/>
  <c r="N35" i="1"/>
  <c r="M35" i="1"/>
  <c r="K35" i="1"/>
  <c r="J35" i="1"/>
  <c r="I35" i="1"/>
  <c r="H35" i="1"/>
  <c r="G35" i="1"/>
  <c r="F35" i="1"/>
  <c r="E35" i="1"/>
  <c r="D35" i="1"/>
  <c r="X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X33" i="1"/>
  <c r="T33" i="1"/>
  <c r="S33" i="1"/>
  <c r="R33" i="1"/>
  <c r="Q33" i="1"/>
  <c r="P33" i="1"/>
  <c r="O33" i="1"/>
  <c r="N33" i="1"/>
  <c r="M33" i="1"/>
  <c r="K33" i="1"/>
  <c r="J33" i="1"/>
  <c r="I33" i="1"/>
  <c r="H33" i="1"/>
  <c r="G33" i="1"/>
  <c r="F33" i="1"/>
  <c r="E33" i="1"/>
  <c r="D33" i="1"/>
  <c r="X32" i="1"/>
  <c r="T32" i="1"/>
  <c r="S32" i="1"/>
  <c r="R32" i="1"/>
  <c r="Q32" i="1"/>
  <c r="P32" i="1"/>
  <c r="O32" i="1"/>
  <c r="N32" i="1"/>
  <c r="M32" i="1"/>
  <c r="K32" i="1"/>
  <c r="J32" i="1"/>
  <c r="I32" i="1"/>
  <c r="H32" i="1"/>
  <c r="G32" i="1"/>
  <c r="F32" i="1"/>
  <c r="E32" i="1"/>
  <c r="D32" i="1"/>
  <c r="X31" i="1"/>
  <c r="T31" i="1"/>
  <c r="S31" i="1"/>
  <c r="R31" i="1"/>
  <c r="Q31" i="1"/>
  <c r="P31" i="1"/>
  <c r="O31" i="1"/>
  <c r="N31" i="1"/>
  <c r="M31" i="1"/>
  <c r="K31" i="1"/>
  <c r="J31" i="1"/>
  <c r="I31" i="1"/>
  <c r="H31" i="1"/>
  <c r="G31" i="1"/>
  <c r="F31" i="1"/>
  <c r="E31" i="1"/>
  <c r="D31" i="1"/>
  <c r="X30" i="1"/>
  <c r="T30" i="1"/>
  <c r="S30" i="1"/>
  <c r="R30" i="1"/>
  <c r="Q30" i="1"/>
  <c r="P30" i="1"/>
  <c r="O30" i="1"/>
  <c r="N30" i="1"/>
  <c r="M30" i="1"/>
  <c r="K30" i="1"/>
  <c r="J30" i="1"/>
  <c r="I30" i="1"/>
  <c r="H30" i="1"/>
  <c r="G30" i="1"/>
  <c r="F30" i="1"/>
  <c r="E30" i="1"/>
  <c r="D30" i="1"/>
  <c r="X29" i="1"/>
  <c r="T29" i="1"/>
  <c r="S29" i="1"/>
  <c r="R29" i="1"/>
  <c r="Q29" i="1"/>
  <c r="P29" i="1"/>
  <c r="O29" i="1"/>
  <c r="N29" i="1"/>
  <c r="M29" i="1"/>
  <c r="K29" i="1"/>
  <c r="J29" i="1"/>
  <c r="I29" i="1"/>
  <c r="H29" i="1"/>
  <c r="G29" i="1"/>
  <c r="F29" i="1"/>
  <c r="E29" i="1"/>
  <c r="D29" i="1"/>
  <c r="X28" i="1"/>
  <c r="T28" i="1"/>
  <c r="S28" i="1"/>
  <c r="R28" i="1"/>
  <c r="Q28" i="1"/>
  <c r="P28" i="1"/>
  <c r="O28" i="1"/>
  <c r="N28" i="1"/>
  <c r="M28" i="1"/>
  <c r="K28" i="1"/>
  <c r="J28" i="1"/>
  <c r="I28" i="1"/>
  <c r="H28" i="1"/>
  <c r="G28" i="1"/>
  <c r="F28" i="1"/>
  <c r="E28" i="1"/>
  <c r="D28" i="1"/>
  <c r="X27" i="1"/>
  <c r="T27" i="1"/>
  <c r="S27" i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D27" i="1"/>
  <c r="X26" i="1"/>
  <c r="T26" i="1"/>
  <c r="S26" i="1"/>
  <c r="R26" i="1"/>
  <c r="Q26" i="1"/>
  <c r="P26" i="1"/>
  <c r="O26" i="1"/>
  <c r="N26" i="1"/>
  <c r="M26" i="1"/>
  <c r="K26" i="1"/>
  <c r="J26" i="1"/>
  <c r="I26" i="1"/>
  <c r="H26" i="1"/>
  <c r="G26" i="1"/>
  <c r="F26" i="1"/>
  <c r="E26" i="1"/>
  <c r="D26" i="1"/>
  <c r="X25" i="1"/>
  <c r="T25" i="1"/>
  <c r="S25" i="1"/>
  <c r="R25" i="1"/>
  <c r="Q25" i="1"/>
  <c r="P25" i="1"/>
  <c r="O25" i="1"/>
  <c r="N25" i="1"/>
  <c r="M25" i="1"/>
  <c r="K25" i="1"/>
  <c r="J25" i="1"/>
  <c r="I25" i="1"/>
  <c r="H25" i="1"/>
  <c r="G25" i="1"/>
  <c r="F25" i="1"/>
  <c r="E25" i="1"/>
  <c r="D25" i="1"/>
  <c r="X24" i="1"/>
  <c r="T24" i="1"/>
  <c r="S24" i="1"/>
  <c r="R24" i="1"/>
  <c r="Q24" i="1"/>
  <c r="P24" i="1"/>
  <c r="O24" i="1"/>
  <c r="N24" i="1"/>
  <c r="M24" i="1"/>
  <c r="K24" i="1"/>
  <c r="J24" i="1"/>
  <c r="I24" i="1"/>
  <c r="H24" i="1"/>
  <c r="G24" i="1"/>
  <c r="F24" i="1"/>
  <c r="E24" i="1"/>
  <c r="D24" i="1"/>
  <c r="X23" i="1"/>
  <c r="T23" i="1"/>
  <c r="S23" i="1"/>
  <c r="R23" i="1"/>
  <c r="Q23" i="1"/>
  <c r="P23" i="1"/>
  <c r="O23" i="1"/>
  <c r="N23" i="1"/>
  <c r="M23" i="1"/>
  <c r="K23" i="1"/>
  <c r="J23" i="1"/>
  <c r="I23" i="1"/>
  <c r="H23" i="1"/>
  <c r="G23" i="1"/>
  <c r="F23" i="1"/>
  <c r="E23" i="1"/>
  <c r="D23" i="1"/>
  <c r="X22" i="1"/>
  <c r="T22" i="1"/>
  <c r="S22" i="1"/>
  <c r="R22" i="1"/>
  <c r="Q22" i="1"/>
  <c r="P22" i="1"/>
  <c r="O22" i="1"/>
  <c r="N22" i="1"/>
  <c r="M22" i="1"/>
  <c r="K22" i="1"/>
  <c r="J22" i="1"/>
  <c r="I22" i="1"/>
  <c r="H22" i="1"/>
  <c r="G22" i="1"/>
  <c r="F22" i="1"/>
  <c r="E22" i="1"/>
  <c r="D22" i="1"/>
  <c r="X21" i="1"/>
  <c r="T21" i="1"/>
  <c r="S21" i="1"/>
  <c r="R21" i="1"/>
  <c r="Q21" i="1"/>
  <c r="P21" i="1"/>
  <c r="O21" i="1"/>
  <c r="N21" i="1"/>
  <c r="M21" i="1"/>
  <c r="K21" i="1"/>
  <c r="J21" i="1"/>
  <c r="I21" i="1"/>
  <c r="H21" i="1"/>
  <c r="G21" i="1"/>
  <c r="F21" i="1"/>
  <c r="E21" i="1"/>
  <c r="D21" i="1"/>
  <c r="X20" i="1"/>
  <c r="T20" i="1"/>
  <c r="S20" i="1"/>
  <c r="R20" i="1"/>
  <c r="Q20" i="1"/>
  <c r="P20" i="1"/>
  <c r="O20" i="1"/>
  <c r="N20" i="1"/>
  <c r="M20" i="1"/>
  <c r="K20" i="1"/>
  <c r="J20" i="1"/>
  <c r="I20" i="1"/>
  <c r="H20" i="1"/>
  <c r="G20" i="1"/>
  <c r="F20" i="1"/>
  <c r="E20" i="1"/>
  <c r="D20" i="1"/>
  <c r="X19" i="1"/>
  <c r="T19" i="1"/>
  <c r="S19" i="1"/>
  <c r="R19" i="1"/>
  <c r="Q19" i="1"/>
  <c r="P19" i="1"/>
  <c r="O19" i="1"/>
  <c r="N19" i="1"/>
  <c r="M19" i="1"/>
  <c r="K19" i="1"/>
  <c r="J19" i="1"/>
  <c r="I19" i="1"/>
  <c r="H19" i="1"/>
  <c r="G19" i="1"/>
  <c r="F19" i="1"/>
  <c r="E19" i="1"/>
  <c r="D19" i="1"/>
  <c r="X18" i="1"/>
  <c r="T18" i="1"/>
  <c r="S18" i="1"/>
  <c r="R18" i="1"/>
  <c r="Q18" i="1"/>
  <c r="P18" i="1"/>
  <c r="O18" i="1"/>
  <c r="N18" i="1"/>
  <c r="M18" i="1"/>
  <c r="K18" i="1"/>
  <c r="J18" i="1"/>
  <c r="I18" i="1"/>
  <c r="H18" i="1"/>
  <c r="G18" i="1"/>
  <c r="F18" i="1"/>
  <c r="E18" i="1"/>
  <c r="D18" i="1"/>
  <c r="X17" i="1"/>
  <c r="T17" i="1"/>
  <c r="S17" i="1"/>
  <c r="R17" i="1"/>
  <c r="Q17" i="1"/>
  <c r="P17" i="1"/>
  <c r="O17" i="1"/>
  <c r="N17" i="1"/>
  <c r="M17" i="1"/>
  <c r="K17" i="1"/>
  <c r="J17" i="1"/>
  <c r="I17" i="1"/>
  <c r="H17" i="1"/>
  <c r="G17" i="1"/>
  <c r="F17" i="1"/>
  <c r="E17" i="1"/>
  <c r="D17" i="1"/>
  <c r="X16" i="1"/>
  <c r="T16" i="1"/>
  <c r="S16" i="1"/>
  <c r="R16" i="1"/>
  <c r="Q16" i="1"/>
  <c r="P16" i="1"/>
  <c r="O16" i="1"/>
  <c r="N16" i="1"/>
  <c r="M16" i="1"/>
  <c r="K16" i="1"/>
  <c r="J16" i="1"/>
  <c r="I16" i="1"/>
  <c r="H16" i="1"/>
  <c r="G16" i="1"/>
  <c r="F16" i="1"/>
  <c r="E16" i="1"/>
  <c r="D16" i="1"/>
  <c r="X15" i="1"/>
  <c r="T15" i="1"/>
  <c r="S15" i="1"/>
  <c r="R15" i="1"/>
  <c r="Q15" i="1"/>
  <c r="P15" i="1"/>
  <c r="O15" i="1"/>
  <c r="N15" i="1"/>
  <c r="M15" i="1"/>
  <c r="K15" i="1"/>
  <c r="J15" i="1"/>
  <c r="I15" i="1"/>
  <c r="H15" i="1"/>
  <c r="G15" i="1"/>
  <c r="F15" i="1"/>
  <c r="E15" i="1"/>
  <c r="D15" i="1"/>
  <c r="X14" i="1"/>
  <c r="T14" i="1"/>
  <c r="S14" i="1"/>
  <c r="R14" i="1"/>
  <c r="Q14" i="1"/>
  <c r="P14" i="1"/>
  <c r="O14" i="1"/>
  <c r="N14" i="1"/>
  <c r="M14" i="1"/>
  <c r="K14" i="1"/>
  <c r="J14" i="1"/>
  <c r="I14" i="1"/>
  <c r="H14" i="1"/>
  <c r="G14" i="1"/>
  <c r="F14" i="1"/>
  <c r="E14" i="1"/>
  <c r="D14" i="1"/>
  <c r="X13" i="1"/>
  <c r="T13" i="1"/>
  <c r="S13" i="1"/>
  <c r="R13" i="1"/>
  <c r="Q13" i="1"/>
  <c r="P13" i="1"/>
  <c r="O13" i="1"/>
  <c r="N13" i="1"/>
  <c r="M13" i="1"/>
  <c r="K13" i="1"/>
  <c r="J13" i="1"/>
  <c r="I13" i="1"/>
  <c r="H13" i="1"/>
  <c r="G13" i="1"/>
  <c r="F13" i="1"/>
  <c r="E13" i="1"/>
  <c r="D13" i="1"/>
  <c r="X12" i="1"/>
  <c r="T12" i="1"/>
  <c r="S12" i="1"/>
  <c r="R12" i="1"/>
  <c r="Q12" i="1"/>
  <c r="P12" i="1"/>
  <c r="O12" i="1"/>
  <c r="N12" i="1"/>
  <c r="M12" i="1"/>
  <c r="K12" i="1"/>
  <c r="J12" i="1"/>
  <c r="I12" i="1"/>
  <c r="H12" i="1"/>
  <c r="G12" i="1"/>
  <c r="F12" i="1"/>
  <c r="E12" i="1"/>
  <c r="D12" i="1"/>
  <c r="X11" i="1"/>
  <c r="T11" i="1"/>
  <c r="S11" i="1"/>
  <c r="R11" i="1"/>
  <c r="Q11" i="1"/>
  <c r="P11" i="1"/>
  <c r="O11" i="1"/>
  <c r="N11" i="1"/>
  <c r="M11" i="1"/>
  <c r="K11" i="1"/>
  <c r="J11" i="1"/>
  <c r="I11" i="1"/>
  <c r="H11" i="1"/>
  <c r="G11" i="1"/>
  <c r="F11" i="1"/>
  <c r="E11" i="1"/>
  <c r="D11" i="1"/>
  <c r="X10" i="1"/>
  <c r="T10" i="1"/>
  <c r="S10" i="1"/>
  <c r="R10" i="1"/>
  <c r="Q10" i="1"/>
  <c r="P10" i="1"/>
  <c r="O10" i="1"/>
  <c r="N10" i="1"/>
  <c r="M10" i="1"/>
  <c r="K10" i="1"/>
  <c r="J10" i="1"/>
  <c r="I10" i="1"/>
  <c r="H10" i="1"/>
  <c r="G10" i="1"/>
  <c r="F10" i="1"/>
  <c r="E10" i="1"/>
  <c r="D10" i="1"/>
  <c r="X9" i="1"/>
  <c r="T9" i="1"/>
  <c r="S9" i="1"/>
  <c r="R9" i="1"/>
  <c r="Q9" i="1"/>
  <c r="P9" i="1"/>
  <c r="O9" i="1"/>
  <c r="N9" i="1"/>
  <c r="M9" i="1"/>
  <c r="K9" i="1"/>
  <c r="J9" i="1"/>
  <c r="I9" i="1"/>
  <c r="H9" i="1"/>
  <c r="G9" i="1"/>
  <c r="F9" i="1"/>
  <c r="E9" i="1"/>
  <c r="D9" i="1"/>
  <c r="X8" i="1"/>
  <c r="T8" i="1"/>
  <c r="S8" i="1"/>
  <c r="R8" i="1"/>
  <c r="Q8" i="1"/>
  <c r="P8" i="1"/>
  <c r="O8" i="1"/>
  <c r="N8" i="1"/>
  <c r="M8" i="1"/>
  <c r="K8" i="1"/>
  <c r="J8" i="1"/>
  <c r="I8" i="1"/>
  <c r="H8" i="1"/>
  <c r="G8" i="1"/>
  <c r="F8" i="1"/>
  <c r="E8" i="1"/>
  <c r="AB14" i="1" s="1"/>
  <c r="D8" i="1"/>
  <c r="X7" i="1"/>
  <c r="T7" i="1"/>
  <c r="S7" i="1"/>
  <c r="R7" i="1"/>
  <c r="Q7" i="1"/>
  <c r="P7" i="1"/>
  <c r="O7" i="1"/>
  <c r="N7" i="1"/>
  <c r="M7" i="1"/>
  <c r="K7" i="1"/>
  <c r="J7" i="1"/>
  <c r="I7" i="1"/>
  <c r="H7" i="1"/>
  <c r="G7" i="1"/>
  <c r="F7" i="1"/>
  <c r="E7" i="1"/>
  <c r="D7" i="1"/>
  <c r="X6" i="1"/>
  <c r="T6" i="1"/>
  <c r="S6" i="1"/>
  <c r="R6" i="1"/>
  <c r="Q6" i="1"/>
  <c r="P6" i="1"/>
  <c r="O6" i="1"/>
  <c r="N6" i="1"/>
  <c r="M6" i="1"/>
  <c r="K6" i="1"/>
  <c r="J6" i="1"/>
  <c r="I6" i="1"/>
  <c r="H6" i="1"/>
  <c r="G6" i="1"/>
  <c r="F6" i="1"/>
  <c r="E6" i="1"/>
  <c r="D6" i="1"/>
  <c r="X5" i="1"/>
  <c r="T5" i="1"/>
  <c r="S5" i="1"/>
  <c r="R5" i="1"/>
  <c r="Q5" i="1"/>
  <c r="P5" i="1"/>
  <c r="O5" i="1"/>
  <c r="AB5" i="1" s="1"/>
  <c r="N5" i="1"/>
  <c r="M5" i="1"/>
  <c r="K5" i="1"/>
  <c r="J5" i="1"/>
  <c r="I5" i="1"/>
  <c r="H5" i="1"/>
  <c r="G5" i="1"/>
  <c r="F5" i="1"/>
  <c r="E5" i="1"/>
  <c r="D5" i="1"/>
  <c r="X4" i="1"/>
  <c r="T4" i="1"/>
  <c r="S4" i="1"/>
  <c r="R4" i="1"/>
  <c r="Q4" i="1"/>
  <c r="P4" i="1"/>
  <c r="O4" i="1"/>
  <c r="N4" i="1"/>
  <c r="M4" i="1"/>
  <c r="K4" i="1"/>
  <c r="J4" i="1"/>
  <c r="I4" i="1"/>
  <c r="H4" i="1"/>
  <c r="G4" i="1"/>
  <c r="F4" i="1"/>
  <c r="E4" i="1"/>
  <c r="D4" i="1"/>
  <c r="X3" i="1"/>
  <c r="T3" i="1"/>
  <c r="S3" i="1"/>
  <c r="R3" i="1"/>
  <c r="Q3" i="1"/>
  <c r="P3" i="1"/>
  <c r="O3" i="1"/>
  <c r="N3" i="1"/>
  <c r="M3" i="1"/>
  <c r="K3" i="1"/>
  <c r="J3" i="1"/>
  <c r="I3" i="1"/>
  <c r="H3" i="1"/>
  <c r="G3" i="1"/>
  <c r="F3" i="1"/>
  <c r="E3" i="1"/>
  <c r="D3" i="1"/>
  <c r="X2" i="1"/>
  <c r="T2" i="1"/>
  <c r="AC10" i="1" s="1"/>
  <c r="S2" i="1"/>
  <c r="AC9" i="1" s="1"/>
  <c r="R2" i="1"/>
  <c r="AC8" i="1" s="1"/>
  <c r="Q2" i="1"/>
  <c r="AC7" i="1" s="1"/>
  <c r="P2" i="1"/>
  <c r="AB6" i="1" s="1"/>
  <c r="O2" i="1"/>
  <c r="AC5" i="1" s="1"/>
  <c r="N2" i="1"/>
  <c r="AC4" i="1" s="1"/>
  <c r="M2" i="1"/>
  <c r="AC3" i="1" s="1"/>
  <c r="K2" i="1"/>
  <c r="AC20" i="1" s="1"/>
  <c r="J2" i="1"/>
  <c r="AC19" i="1" s="1"/>
  <c r="I2" i="1"/>
  <c r="AC18" i="1" s="1"/>
  <c r="H2" i="1"/>
  <c r="AC17" i="1" s="1"/>
  <c r="G2" i="1"/>
  <c r="AC16" i="1" s="1"/>
  <c r="F2" i="1"/>
  <c r="AC15" i="1" s="1"/>
  <c r="E2" i="1"/>
  <c r="AC14" i="1" s="1"/>
  <c r="D2" i="1"/>
  <c r="AC13" i="1" s="1"/>
  <c r="AB15" i="1" l="1"/>
  <c r="AC6" i="1"/>
  <c r="AB7" i="1"/>
  <c r="AB16" i="1"/>
  <c r="AB8" i="1"/>
  <c r="AD8" i="1" s="1"/>
  <c r="AB17" i="1"/>
  <c r="AD17" i="1" s="1"/>
  <c r="AB9" i="1"/>
  <c r="AD9" i="1" s="1"/>
  <c r="AB18" i="1"/>
  <c r="AD18" i="1" s="1"/>
  <c r="AB3" i="1"/>
  <c r="AB10" i="1"/>
  <c r="AB19" i="1"/>
  <c r="AB4" i="1"/>
  <c r="AB13" i="1"/>
  <c r="AB20" i="1"/>
  <c r="AA10" i="1"/>
  <c r="AD7" i="1"/>
  <c r="AD13" i="1"/>
  <c r="AD16" i="1"/>
  <c r="AD20" i="1"/>
  <c r="AD19" i="1"/>
  <c r="AD5" i="1"/>
  <c r="AA7" i="1"/>
  <c r="AA8" i="1"/>
  <c r="AD6" i="1"/>
  <c r="AA9" i="1"/>
  <c r="AA13" i="1"/>
  <c r="AA14" i="1"/>
  <c r="AD10" i="1"/>
  <c r="AA15" i="1"/>
  <c r="AA16" i="1"/>
  <c r="AD14" i="1"/>
  <c r="AA17" i="1"/>
  <c r="AD15" i="1"/>
  <c r="AA18" i="1"/>
  <c r="AA3" i="1"/>
  <c r="AA19" i="1"/>
  <c r="AA4" i="1"/>
  <c r="AA20" i="1"/>
  <c r="AA5" i="1"/>
  <c r="AA6" i="1"/>
  <c r="AD4" i="1"/>
  <c r="AD3" i="1" l="1"/>
</calcChain>
</file>

<file path=xl/sharedStrings.xml><?xml version="1.0" encoding="utf-8"?>
<sst xmlns="http://schemas.openxmlformats.org/spreadsheetml/2006/main" count="177" uniqueCount="85">
  <si>
    <t>baseline_GPT</t>
  </si>
  <si>
    <t>byu_provo</t>
  </si>
  <si>
    <t>ohio_uni</t>
  </si>
  <si>
    <t>smiling_turtle</t>
  </si>
  <si>
    <t>wild_falcon</t>
  </si>
  <si>
    <t>pwnPh0fun</t>
  </si>
  <si>
    <t>kossy</t>
  </si>
  <si>
    <t>uc_merced</t>
  </si>
  <si>
    <t>winner</t>
  </si>
  <si>
    <t>turns</t>
  </si>
  <si>
    <t>score</t>
  </si>
  <si>
    <t>baseline_GPT_baseline_GPT</t>
  </si>
  <si>
    <t>R</t>
  </si>
  <si>
    <t>guesser</t>
  </si>
  <si>
    <t>wins</t>
  </si>
  <si>
    <t>score sum</t>
  </si>
  <si>
    <t>score avg</t>
  </si>
  <si>
    <t>baseline_GPT_byu_provo</t>
  </si>
  <si>
    <t>B</t>
  </si>
  <si>
    <t>baseline_GPT_ohio_uni</t>
  </si>
  <si>
    <t>baseline_GPT_smiling_turtle</t>
  </si>
  <si>
    <t>baseline_GPT_wild_falcon</t>
  </si>
  <si>
    <t>baseline_GPT_pwnPh0fun</t>
  </si>
  <si>
    <t>baseline_GPT_kossy</t>
  </si>
  <si>
    <t>baseline_GPT_uc_merced</t>
  </si>
  <si>
    <t>byu_provo_baseline_GPT</t>
  </si>
  <si>
    <t>byu_provo_byu_provo</t>
  </si>
  <si>
    <t>byu_provo_ohio_uni</t>
  </si>
  <si>
    <t>codemaster</t>
  </si>
  <si>
    <t>byu_provo_smiling_turtle</t>
  </si>
  <si>
    <t>byu_provo_wild_falcon</t>
  </si>
  <si>
    <t>byu_provo_pwnPh0fun</t>
  </si>
  <si>
    <t>byu_provo_kossy</t>
  </si>
  <si>
    <t>byu_provo_uc_merced</t>
  </si>
  <si>
    <t>ohio_uni_baseline_GPT</t>
  </si>
  <si>
    <t>ohio_uni_byu_provo</t>
  </si>
  <si>
    <t>ohio_uni_ohio_uni</t>
  </si>
  <si>
    <t>ohio_uni_smiling_turtle</t>
  </si>
  <si>
    <t>ohio_uni_wild_falcon</t>
  </si>
  <si>
    <t>ohio_uni_pwnPh0fun</t>
  </si>
  <si>
    <t>ohio_uni_kossy</t>
  </si>
  <si>
    <t>ohio_uni_uc_merced</t>
  </si>
  <si>
    <t>smiling_turtle_baseline_GPT</t>
  </si>
  <si>
    <t>smiling_turtle_byu_provo</t>
  </si>
  <si>
    <t>smiling_turtle_ohio_uni</t>
  </si>
  <si>
    <t>smiling_turtle_smiling_turtle</t>
  </si>
  <si>
    <t>smiling_turtle_wild_falcon</t>
  </si>
  <si>
    <t>smiling_turtle_pwnPh0fun</t>
  </si>
  <si>
    <t>smiling_turtle_kossy</t>
  </si>
  <si>
    <t>smiling_turtle_uc_merced</t>
  </si>
  <si>
    <t>wild_falcon_baseline_GPT</t>
  </si>
  <si>
    <t>wild_falcon_byu_provo</t>
  </si>
  <si>
    <t>wild_falcon_ohio_uni</t>
  </si>
  <si>
    <t>wild_falcon_smiling_turtle</t>
  </si>
  <si>
    <t>wild_falcon_wild_falcon</t>
  </si>
  <si>
    <t>wild_falcon_pwnPh0fun</t>
  </si>
  <si>
    <t>wild_falcon_kossy</t>
  </si>
  <si>
    <t>wild_falcon_uc_merced</t>
  </si>
  <si>
    <t>pwnPh0fun_baseline_GPT</t>
  </si>
  <si>
    <t>pwnPh0fun_byu_provo</t>
  </si>
  <si>
    <t>pwnPh0fun_ohio_uni</t>
  </si>
  <si>
    <t>pwnPh0fun_smiling_turtle</t>
  </si>
  <si>
    <t>pwnPh0fun_wild_falcon</t>
  </si>
  <si>
    <t>pwnPh0fun_pwnPh0fun</t>
  </si>
  <si>
    <t>pwnPh0fun_kossy</t>
  </si>
  <si>
    <t>pwnPh0fun_uc_merced</t>
  </si>
  <si>
    <t>kossy_baseline_GPT</t>
  </si>
  <si>
    <t>kossy_byu_provo</t>
  </si>
  <si>
    <t>kossy_ohio_uni</t>
  </si>
  <si>
    <t>kossy_smiling_turtle</t>
  </si>
  <si>
    <t>kossy_wild_falcon</t>
  </si>
  <si>
    <t>kossy_pwnPh0fun</t>
  </si>
  <si>
    <t>kossy_kossy</t>
  </si>
  <si>
    <t>kossy_uc_merced</t>
  </si>
  <si>
    <t>uc_merced_baseline_GPT</t>
  </si>
  <si>
    <t>uc_merced_byu_provo</t>
  </si>
  <si>
    <t>uc_merced_ohio_uni</t>
  </si>
  <si>
    <t>uc_merced_smiling_turtle</t>
  </si>
  <si>
    <t>uc_merced_wild_falcon</t>
  </si>
  <si>
    <t>uc_merced_pwnPh0fun</t>
  </si>
  <si>
    <t>uc_merced_kossy</t>
  </si>
  <si>
    <t>uc_merced_uc_merced</t>
  </si>
  <si>
    <t>turn avg</t>
  </si>
  <si>
    <t>turn sum</t>
  </si>
  <si>
    <t>turn avg (only wins)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</si>
</sst>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i/>
      <sz val="10"/>
      <color theme="1"/>
      <name val="Liberation Sans"/>
    </font>
    <font>
      <b/>
      <i/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2" fillId="0" borderId="0" xfId="0" applyFont="1"/>
    <xf numFmtId="0" fontId="14" fillId="0" borderId="0" xfId="0" applyFont="1"/>
    <xf numFmtId="0" fontId="15" fillId="0" borderId="0" xfId="0" applyFont="1"/>
    <xf numFmtId="0" fontId="2" fillId="9" borderId="0" xfId="0" applyFont="1" applyFill="1"/>
  </cellXfs>
  <cellStyles count="19">
    <cellStyle name="Accent" xfId="7" xr:uid="{04A877E2-2675-42DE-88EA-08C1D7BA191D}"/>
    <cellStyle name="Accent 1" xfId="8" xr:uid="{24D0577F-5AD1-4C71-866F-973C91C2159D}"/>
    <cellStyle name="Accent 2" xfId="9" xr:uid="{8BBD2406-C094-41C8-8F5D-81A6D88D5F57}"/>
    <cellStyle name="Accent 3" xfId="10" xr:uid="{37AB20CF-F183-47F8-A3A6-C8A77F9CD21A}"/>
    <cellStyle name="Bad" xfId="4" builtinId="27" customBuiltin="1"/>
    <cellStyle name="Error" xfId="11" xr:uid="{C5E1E6FF-1891-41AE-BDBC-F14C351825C1}"/>
    <cellStyle name="Footnote" xfId="12" xr:uid="{22324AAA-37BF-4C41-841E-D657A4ECA398}"/>
    <cellStyle name="Good" xfId="3" builtinId="26" customBuiltin="1"/>
    <cellStyle name="Heading" xfId="13" xr:uid="{9A817C3B-1B86-47FD-B4D2-039EED681D57}"/>
    <cellStyle name="Heading 1" xfId="1" builtinId="16" customBuiltin="1"/>
    <cellStyle name="Heading 2" xfId="2" builtinId="17" customBuiltin="1"/>
    <cellStyle name="Hyperlink" xfId="14" xr:uid="{63367E80-B13D-42F5-A36B-533077828566}"/>
    <cellStyle name="Neutral" xfId="5" builtinId="28" customBuiltin="1"/>
    <cellStyle name="Normal" xfId="0" builtinId="0" customBuiltin="1"/>
    <cellStyle name="Note" xfId="6" builtinId="10" customBuiltin="1"/>
    <cellStyle name="Result" xfId="15" xr:uid="{40C7B558-7BD6-455A-9A50-0C44AC8B2F95}"/>
    <cellStyle name="Status" xfId="16" xr:uid="{96E884C0-0468-44B1-A06B-9ABAF48B3708}"/>
    <cellStyle name="Text" xfId="17" xr:uid="{8A84C006-28C9-4ADE-8921-5E31FF40B636}"/>
    <cellStyle name="Warning" xfId="18" xr:uid="{1BE84B06-D7B4-4422-9208-C0B4389F1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57A9-70A7-40A8-9A76-2101AD918772}">
  <dimension ref="B1:AF65"/>
  <sheetViews>
    <sheetView tabSelected="1" topLeftCell="T1" workbookViewId="0">
      <selection activeCell="AH15" sqref="AH15"/>
    </sheetView>
  </sheetViews>
  <sheetFormatPr defaultRowHeight="12.5"/>
  <cols>
    <col min="1" max="30" width="12.1796875" customWidth="1"/>
  </cols>
  <sheetData>
    <row r="1" spans="2:32" ht="1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V1" s="1" t="s">
        <v>8</v>
      </c>
      <c r="W1" s="1" t="s">
        <v>9</v>
      </c>
      <c r="X1" s="1" t="s">
        <v>10</v>
      </c>
    </row>
    <row r="2" spans="2:32" ht="13">
      <c r="B2" t="s">
        <v>11</v>
      </c>
      <c r="D2" t="b">
        <f t="shared" ref="D2:K11" si="0">ISNUMBER(SEARCH(_xlfn.CONCAT(D$1,"_"),$B2))</f>
        <v>1</v>
      </c>
      <c r="E2" t="b">
        <f t="shared" si="0"/>
        <v>0</v>
      </c>
      <c r="F2" t="b">
        <f t="shared" si="0"/>
        <v>0</v>
      </c>
      <c r="G2" t="b">
        <f t="shared" si="0"/>
        <v>0</v>
      </c>
      <c r="H2" t="b">
        <f t="shared" si="0"/>
        <v>0</v>
      </c>
      <c r="I2" t="b">
        <f t="shared" si="0"/>
        <v>0</v>
      </c>
      <c r="J2" t="b">
        <f t="shared" si="0"/>
        <v>0</v>
      </c>
      <c r="K2" t="b">
        <f t="shared" si="0"/>
        <v>0</v>
      </c>
      <c r="M2" t="b">
        <f t="shared" ref="M2:M33" si="1">ISNUMBER(SEARCH(_xlfn.CONCAT("_",D$1),$B2))</f>
        <v>1</v>
      </c>
      <c r="N2" t="b">
        <f t="shared" ref="N2:N33" si="2">ISNUMBER(SEARCH(_xlfn.CONCAT("_",E$1),$B2))</f>
        <v>0</v>
      </c>
      <c r="O2" t="b">
        <f t="shared" ref="O2:O33" si="3">ISNUMBER(SEARCH(_xlfn.CONCAT("_",F$1),$B2))</f>
        <v>0</v>
      </c>
      <c r="P2" t="b">
        <f t="shared" ref="P2:P33" si="4">ISNUMBER(SEARCH(_xlfn.CONCAT("_",G$1),$B2))</f>
        <v>0</v>
      </c>
      <c r="Q2" t="b">
        <f t="shared" ref="Q2:Q33" si="5">ISNUMBER(SEARCH(_xlfn.CONCAT("_",H$1),$B2))</f>
        <v>0</v>
      </c>
      <c r="R2" t="b">
        <f t="shared" ref="R2:R33" si="6">ISNUMBER(SEARCH(_xlfn.CONCAT("_",I$1),$B2))</f>
        <v>0</v>
      </c>
      <c r="S2" t="b">
        <f t="shared" ref="S2:S33" si="7">ISNUMBER(SEARCH(_xlfn.CONCAT("_",J$1),$B2))</f>
        <v>0</v>
      </c>
      <c r="T2" t="b">
        <f t="shared" ref="T2:T33" si="8">ISNUMBER(SEARCH(_xlfn.CONCAT("_",K$1),$B2))</f>
        <v>0</v>
      </c>
      <c r="V2" t="s">
        <v>12</v>
      </c>
      <c r="W2">
        <v>9</v>
      </c>
      <c r="X2">
        <f t="shared" ref="X2:X33" si="9">IF(V2="R",W2,25)</f>
        <v>9</v>
      </c>
      <c r="Z2" s="1" t="s">
        <v>13</v>
      </c>
      <c r="AA2" t="s">
        <v>14</v>
      </c>
      <c r="AB2" t="s">
        <v>15</v>
      </c>
      <c r="AC2" t="s">
        <v>83</v>
      </c>
      <c r="AD2" t="s">
        <v>16</v>
      </c>
      <c r="AE2" t="s">
        <v>82</v>
      </c>
      <c r="AF2" t="s">
        <v>84</v>
      </c>
    </row>
    <row r="3" spans="2:32" ht="13">
      <c r="B3" t="s">
        <v>17</v>
      </c>
      <c r="D3" t="b">
        <f t="shared" si="0"/>
        <v>1</v>
      </c>
      <c r="E3" t="b">
        <f t="shared" si="0"/>
        <v>0</v>
      </c>
      <c r="F3" t="b">
        <f t="shared" si="0"/>
        <v>0</v>
      </c>
      <c r="G3" t="b">
        <f t="shared" si="0"/>
        <v>0</v>
      </c>
      <c r="H3" t="b">
        <f t="shared" si="0"/>
        <v>0</v>
      </c>
      <c r="I3" t="b">
        <f t="shared" si="0"/>
        <v>0</v>
      </c>
      <c r="J3" t="b">
        <f t="shared" si="0"/>
        <v>0</v>
      </c>
      <c r="K3" t="b">
        <f t="shared" si="0"/>
        <v>0</v>
      </c>
      <c r="M3" t="b">
        <f t="shared" si="1"/>
        <v>0</v>
      </c>
      <c r="N3" t="b">
        <f t="shared" si="2"/>
        <v>1</v>
      </c>
      <c r="O3" t="b">
        <f t="shared" si="3"/>
        <v>0</v>
      </c>
      <c r="P3" t="b">
        <f t="shared" si="4"/>
        <v>0</v>
      </c>
      <c r="Q3" t="b">
        <f t="shared" si="5"/>
        <v>0</v>
      </c>
      <c r="R3" t="b">
        <f t="shared" si="6"/>
        <v>0</v>
      </c>
      <c r="S3" t="b">
        <f t="shared" si="7"/>
        <v>0</v>
      </c>
      <c r="T3" t="b">
        <f t="shared" si="8"/>
        <v>0</v>
      </c>
      <c r="V3" t="s">
        <v>18</v>
      </c>
      <c r="W3">
        <v>8</v>
      </c>
      <c r="X3">
        <f t="shared" si="9"/>
        <v>25</v>
      </c>
      <c r="Z3" t="s">
        <v>0</v>
      </c>
      <c r="AA3" s="2">
        <f>COUNTIFS(M2:M65,TRUE, V2:V65,"R")</f>
        <v>6</v>
      </c>
      <c r="AB3" s="2">
        <f>SUMIF(M2:M65,TRUE,X2:X65)</f>
        <v>112</v>
      </c>
      <c r="AC3" s="2">
        <f>SUMIF(M2:M65,TRUE,W2:W65)</f>
        <v>93</v>
      </c>
      <c r="AD3" s="2">
        <f>AB3/8</f>
        <v>14</v>
      </c>
      <c r="AE3">
        <f>AC3/8</f>
        <v>11.625</v>
      </c>
      <c r="AF3">
        <f>AC3/AA3</f>
        <v>15.5</v>
      </c>
    </row>
    <row r="4" spans="2:32" ht="13">
      <c r="B4" t="s">
        <v>19</v>
      </c>
      <c r="D4" t="b">
        <f t="shared" si="0"/>
        <v>1</v>
      </c>
      <c r="E4" t="b">
        <f t="shared" si="0"/>
        <v>0</v>
      </c>
      <c r="F4" t="b">
        <f t="shared" si="0"/>
        <v>0</v>
      </c>
      <c r="G4" t="b">
        <f t="shared" si="0"/>
        <v>0</v>
      </c>
      <c r="H4" t="b">
        <f t="shared" si="0"/>
        <v>0</v>
      </c>
      <c r="I4" t="b">
        <f t="shared" si="0"/>
        <v>0</v>
      </c>
      <c r="J4" t="b">
        <f t="shared" si="0"/>
        <v>0</v>
      </c>
      <c r="K4" t="b">
        <f t="shared" si="0"/>
        <v>0</v>
      </c>
      <c r="M4" t="b">
        <f t="shared" si="1"/>
        <v>0</v>
      </c>
      <c r="N4" t="b">
        <f t="shared" si="2"/>
        <v>0</v>
      </c>
      <c r="O4" t="b">
        <f t="shared" si="3"/>
        <v>1</v>
      </c>
      <c r="P4" t="b">
        <f t="shared" si="4"/>
        <v>0</v>
      </c>
      <c r="Q4" t="b">
        <f t="shared" si="5"/>
        <v>0</v>
      </c>
      <c r="R4" t="b">
        <f t="shared" si="6"/>
        <v>0</v>
      </c>
      <c r="S4" t="b">
        <f t="shared" si="7"/>
        <v>0</v>
      </c>
      <c r="T4" t="b">
        <f t="shared" si="8"/>
        <v>0</v>
      </c>
      <c r="V4" t="s">
        <v>12</v>
      </c>
      <c r="W4">
        <v>11</v>
      </c>
      <c r="X4">
        <f t="shared" si="9"/>
        <v>11</v>
      </c>
      <c r="Z4" t="s">
        <v>1</v>
      </c>
      <c r="AA4" s="2">
        <f>COUNTIFS(N2:N65,TRUE, V2:V65,"R")</f>
        <v>4</v>
      </c>
      <c r="AB4" s="2">
        <f>SUMIF(N2:N65,TRUE,X2:X65)</f>
        <v>146</v>
      </c>
      <c r="AC4" s="2">
        <f>SUMIF(N2:N65,TRUE,W2:W65)</f>
        <v>83</v>
      </c>
      <c r="AD4" s="2">
        <f t="shared" ref="AD4:AD10" si="10">AB4/8</f>
        <v>18.25</v>
      </c>
      <c r="AE4">
        <f t="shared" ref="AE4:AE10" si="11">AC4/8</f>
        <v>10.375</v>
      </c>
      <c r="AF4">
        <f t="shared" ref="AF4:AF20" si="12">AC4/AA4</f>
        <v>20.75</v>
      </c>
    </row>
    <row r="5" spans="2:32" ht="13">
      <c r="B5" t="s">
        <v>20</v>
      </c>
      <c r="D5" t="b">
        <f t="shared" si="0"/>
        <v>1</v>
      </c>
      <c r="E5" t="b">
        <f t="shared" si="0"/>
        <v>0</v>
      </c>
      <c r="F5" t="b">
        <f t="shared" si="0"/>
        <v>0</v>
      </c>
      <c r="G5" t="b">
        <f t="shared" si="0"/>
        <v>0</v>
      </c>
      <c r="H5" t="b">
        <f t="shared" si="0"/>
        <v>0</v>
      </c>
      <c r="I5" t="b">
        <f t="shared" si="0"/>
        <v>0</v>
      </c>
      <c r="J5" t="b">
        <f t="shared" si="0"/>
        <v>0</v>
      </c>
      <c r="K5" t="b">
        <f t="shared" si="0"/>
        <v>0</v>
      </c>
      <c r="M5" t="b">
        <f t="shared" si="1"/>
        <v>0</v>
      </c>
      <c r="N5" t="b">
        <f t="shared" si="2"/>
        <v>0</v>
      </c>
      <c r="O5" t="b">
        <f t="shared" si="3"/>
        <v>0</v>
      </c>
      <c r="P5" t="b">
        <f t="shared" si="4"/>
        <v>1</v>
      </c>
      <c r="Q5" t="b">
        <f t="shared" si="5"/>
        <v>0</v>
      </c>
      <c r="R5" t="b">
        <f t="shared" si="6"/>
        <v>0</v>
      </c>
      <c r="S5" t="b">
        <f t="shared" si="7"/>
        <v>0</v>
      </c>
      <c r="T5" t="b">
        <f t="shared" si="8"/>
        <v>0</v>
      </c>
      <c r="V5" t="s">
        <v>12</v>
      </c>
      <c r="W5">
        <v>9</v>
      </c>
      <c r="X5">
        <f t="shared" si="9"/>
        <v>9</v>
      </c>
      <c r="Z5" t="s">
        <v>2</v>
      </c>
      <c r="AA5" s="2">
        <f>COUNTIFS(O2:O65,TRUE, V2:V65,"R")</f>
        <v>6</v>
      </c>
      <c r="AB5" s="2">
        <f>SUMIF(O2:O65,TRUE,X2:X65)</f>
        <v>117</v>
      </c>
      <c r="AC5" s="2">
        <f>SUMIF(O2:O65,TRUE,W2:W65)</f>
        <v>83</v>
      </c>
      <c r="AD5" s="2">
        <f t="shared" si="10"/>
        <v>14.625</v>
      </c>
      <c r="AE5">
        <f t="shared" si="11"/>
        <v>10.375</v>
      </c>
      <c r="AF5">
        <f t="shared" si="12"/>
        <v>13.833333333333334</v>
      </c>
    </row>
    <row r="6" spans="2:32" ht="13">
      <c r="B6" t="s">
        <v>21</v>
      </c>
      <c r="D6" t="b">
        <f t="shared" si="0"/>
        <v>1</v>
      </c>
      <c r="E6" t="b">
        <f t="shared" si="0"/>
        <v>0</v>
      </c>
      <c r="F6" t="b">
        <f t="shared" si="0"/>
        <v>0</v>
      </c>
      <c r="G6" t="b">
        <f t="shared" si="0"/>
        <v>0</v>
      </c>
      <c r="H6" t="b">
        <f t="shared" si="0"/>
        <v>0</v>
      </c>
      <c r="I6" t="b">
        <f t="shared" si="0"/>
        <v>0</v>
      </c>
      <c r="J6" t="b">
        <f t="shared" si="0"/>
        <v>0</v>
      </c>
      <c r="K6" t="b">
        <f t="shared" si="0"/>
        <v>0</v>
      </c>
      <c r="M6" t="b">
        <f t="shared" si="1"/>
        <v>0</v>
      </c>
      <c r="N6" t="b">
        <f t="shared" si="2"/>
        <v>0</v>
      </c>
      <c r="O6" t="b">
        <f t="shared" si="3"/>
        <v>0</v>
      </c>
      <c r="P6" t="b">
        <f t="shared" si="4"/>
        <v>0</v>
      </c>
      <c r="Q6" t="b">
        <f t="shared" si="5"/>
        <v>1</v>
      </c>
      <c r="R6" t="b">
        <f t="shared" si="6"/>
        <v>0</v>
      </c>
      <c r="S6" t="b">
        <f t="shared" si="7"/>
        <v>0</v>
      </c>
      <c r="T6" t="b">
        <f t="shared" si="8"/>
        <v>0</v>
      </c>
      <c r="V6" t="s">
        <v>12</v>
      </c>
      <c r="W6">
        <v>6</v>
      </c>
      <c r="X6">
        <f t="shared" si="9"/>
        <v>6</v>
      </c>
      <c r="Z6" s="4" t="s">
        <v>3</v>
      </c>
      <c r="AA6" s="3">
        <f>COUNTIFS(P2:P65,TRUE, V2:V65,"R")</f>
        <v>8</v>
      </c>
      <c r="AB6" s="3">
        <f>SUMIF(P2:P65,TRUE,X2:X65)</f>
        <v>84</v>
      </c>
      <c r="AC6" s="3">
        <f>SUMIF(P2:P65,TRUE,W2:W65)</f>
        <v>84</v>
      </c>
      <c r="AD6" s="3">
        <f t="shared" si="10"/>
        <v>10.5</v>
      </c>
      <c r="AE6">
        <f t="shared" si="11"/>
        <v>10.5</v>
      </c>
      <c r="AF6" s="1">
        <f t="shared" si="12"/>
        <v>10.5</v>
      </c>
    </row>
    <row r="7" spans="2:32" ht="13">
      <c r="B7" t="s">
        <v>22</v>
      </c>
      <c r="D7" t="b">
        <f t="shared" si="0"/>
        <v>1</v>
      </c>
      <c r="E7" t="b">
        <f t="shared" si="0"/>
        <v>0</v>
      </c>
      <c r="F7" t="b">
        <f t="shared" si="0"/>
        <v>0</v>
      </c>
      <c r="G7" t="b">
        <f t="shared" si="0"/>
        <v>0</v>
      </c>
      <c r="H7" t="b">
        <f t="shared" si="0"/>
        <v>0</v>
      </c>
      <c r="I7" t="b">
        <f t="shared" si="0"/>
        <v>0</v>
      </c>
      <c r="J7" t="b">
        <f t="shared" si="0"/>
        <v>0</v>
      </c>
      <c r="K7" t="b">
        <f t="shared" si="0"/>
        <v>0</v>
      </c>
      <c r="M7" t="b">
        <f t="shared" si="1"/>
        <v>0</v>
      </c>
      <c r="N7" t="b">
        <f t="shared" si="2"/>
        <v>0</v>
      </c>
      <c r="O7" t="b">
        <f t="shared" si="3"/>
        <v>0</v>
      </c>
      <c r="P7" t="b">
        <f t="shared" si="4"/>
        <v>0</v>
      </c>
      <c r="Q7" t="b">
        <f t="shared" si="5"/>
        <v>0</v>
      </c>
      <c r="R7" t="b">
        <f t="shared" si="6"/>
        <v>1</v>
      </c>
      <c r="S7" t="b">
        <f t="shared" si="7"/>
        <v>0</v>
      </c>
      <c r="T7" t="b">
        <f t="shared" si="8"/>
        <v>0</v>
      </c>
      <c r="V7" t="s">
        <v>12</v>
      </c>
      <c r="W7">
        <v>9</v>
      </c>
      <c r="X7">
        <f t="shared" si="9"/>
        <v>9</v>
      </c>
      <c r="Z7" t="s">
        <v>4</v>
      </c>
      <c r="AA7" s="2">
        <f>COUNTIFS(Q2:Q65,TRUE, V2:V65,"R")</f>
        <v>3</v>
      </c>
      <c r="AB7" s="2">
        <f>SUMIF(Q2:Q65,TRUE,X2:X65)</f>
        <v>153</v>
      </c>
      <c r="AC7" s="2">
        <f>SUMIF(Q2:Q65,TRUE,W2:W65)</f>
        <v>57</v>
      </c>
      <c r="AD7" s="2">
        <f t="shared" si="10"/>
        <v>19.125</v>
      </c>
      <c r="AE7">
        <f t="shared" si="11"/>
        <v>7.125</v>
      </c>
      <c r="AF7">
        <f t="shared" si="12"/>
        <v>19</v>
      </c>
    </row>
    <row r="8" spans="2:32" ht="13">
      <c r="B8" t="s">
        <v>23</v>
      </c>
      <c r="D8" t="b">
        <f t="shared" si="0"/>
        <v>1</v>
      </c>
      <c r="E8" t="b">
        <f t="shared" si="0"/>
        <v>0</v>
      </c>
      <c r="F8" t="b">
        <f t="shared" si="0"/>
        <v>0</v>
      </c>
      <c r="G8" t="b">
        <f t="shared" si="0"/>
        <v>0</v>
      </c>
      <c r="H8" t="b">
        <f t="shared" si="0"/>
        <v>0</v>
      </c>
      <c r="I8" t="b">
        <f t="shared" si="0"/>
        <v>0</v>
      </c>
      <c r="J8" t="b">
        <f t="shared" si="0"/>
        <v>0</v>
      </c>
      <c r="K8" t="b">
        <f t="shared" si="0"/>
        <v>0</v>
      </c>
      <c r="M8" t="b">
        <f t="shared" si="1"/>
        <v>0</v>
      </c>
      <c r="N8" t="b">
        <f t="shared" si="2"/>
        <v>0</v>
      </c>
      <c r="O8" t="b">
        <f t="shared" si="3"/>
        <v>0</v>
      </c>
      <c r="P8" t="b">
        <f t="shared" si="4"/>
        <v>0</v>
      </c>
      <c r="Q8" t="b">
        <f t="shared" si="5"/>
        <v>0</v>
      </c>
      <c r="R8" t="b">
        <f t="shared" si="6"/>
        <v>0</v>
      </c>
      <c r="S8" t="b">
        <f t="shared" si="7"/>
        <v>1</v>
      </c>
      <c r="T8" t="b">
        <f t="shared" si="8"/>
        <v>0</v>
      </c>
      <c r="V8" t="s">
        <v>18</v>
      </c>
      <c r="W8">
        <v>15</v>
      </c>
      <c r="X8">
        <f t="shared" si="9"/>
        <v>25</v>
      </c>
      <c r="Z8" t="s">
        <v>5</v>
      </c>
      <c r="AA8" s="2">
        <f>COUNTIFS(R2:R65,TRUE, V2:V65,"R")</f>
        <v>6</v>
      </c>
      <c r="AB8" s="2">
        <f>SUMIF(R2:R65,TRUE,X2:X65)</f>
        <v>108</v>
      </c>
      <c r="AC8" s="2">
        <f>SUMIF(R2:R65,TRUE,W2:W65)</f>
        <v>74</v>
      </c>
      <c r="AD8" s="2">
        <f t="shared" si="10"/>
        <v>13.5</v>
      </c>
      <c r="AE8" s="1">
        <f t="shared" si="11"/>
        <v>9.25</v>
      </c>
      <c r="AF8">
        <f t="shared" si="12"/>
        <v>12.333333333333334</v>
      </c>
    </row>
    <row r="9" spans="2:32" ht="13">
      <c r="B9" t="s">
        <v>24</v>
      </c>
      <c r="D9" t="b">
        <f t="shared" si="0"/>
        <v>1</v>
      </c>
      <c r="E9" t="b">
        <f t="shared" si="0"/>
        <v>0</v>
      </c>
      <c r="F9" t="b">
        <f t="shared" si="0"/>
        <v>0</v>
      </c>
      <c r="G9" t="b">
        <f t="shared" si="0"/>
        <v>0</v>
      </c>
      <c r="H9" t="b">
        <f t="shared" si="0"/>
        <v>0</v>
      </c>
      <c r="I9" t="b">
        <f t="shared" si="0"/>
        <v>0</v>
      </c>
      <c r="J9" t="b">
        <f t="shared" si="0"/>
        <v>0</v>
      </c>
      <c r="K9" t="b">
        <f t="shared" si="0"/>
        <v>0</v>
      </c>
      <c r="M9" t="b">
        <f t="shared" si="1"/>
        <v>0</v>
      </c>
      <c r="N9" t="b">
        <f t="shared" si="2"/>
        <v>0</v>
      </c>
      <c r="O9" t="b">
        <f t="shared" si="3"/>
        <v>0</v>
      </c>
      <c r="P9" t="b">
        <f t="shared" si="4"/>
        <v>0</v>
      </c>
      <c r="Q9" t="b">
        <f t="shared" si="5"/>
        <v>0</v>
      </c>
      <c r="R9" t="b">
        <f t="shared" si="6"/>
        <v>0</v>
      </c>
      <c r="S9" t="b">
        <f t="shared" si="7"/>
        <v>0</v>
      </c>
      <c r="T9" t="b">
        <f t="shared" si="8"/>
        <v>1</v>
      </c>
      <c r="V9" t="s">
        <v>12</v>
      </c>
      <c r="W9">
        <v>8</v>
      </c>
      <c r="X9">
        <f t="shared" si="9"/>
        <v>8</v>
      </c>
      <c r="Z9" t="s">
        <v>6</v>
      </c>
      <c r="AA9" s="2">
        <f>COUNTIFS(S2:S65,TRUE, V2:V65,"R")</f>
        <v>5</v>
      </c>
      <c r="AB9" s="2">
        <f>SUMIF(S2:S65,TRUE,X2:X65)</f>
        <v>133</v>
      </c>
      <c r="AC9" s="2">
        <f>SUMIF(S2:S65,TRUE,W2:W65)</f>
        <v>90</v>
      </c>
      <c r="AD9" s="2">
        <f t="shared" si="10"/>
        <v>16.625</v>
      </c>
      <c r="AE9">
        <f t="shared" si="11"/>
        <v>11.25</v>
      </c>
      <c r="AF9">
        <f t="shared" si="12"/>
        <v>18</v>
      </c>
    </row>
    <row r="10" spans="2:32" ht="13">
      <c r="B10" t="s">
        <v>25</v>
      </c>
      <c r="D10" t="b">
        <f t="shared" si="0"/>
        <v>0</v>
      </c>
      <c r="E10" t="b">
        <f t="shared" si="0"/>
        <v>1</v>
      </c>
      <c r="F10" t="b">
        <f t="shared" si="0"/>
        <v>0</v>
      </c>
      <c r="G10" t="b">
        <f t="shared" si="0"/>
        <v>0</v>
      </c>
      <c r="H10" t="b">
        <f t="shared" si="0"/>
        <v>0</v>
      </c>
      <c r="I10" t="b">
        <f t="shared" si="0"/>
        <v>0</v>
      </c>
      <c r="J10" t="b">
        <f t="shared" si="0"/>
        <v>0</v>
      </c>
      <c r="K10" t="b">
        <f t="shared" si="0"/>
        <v>0</v>
      </c>
      <c r="M10" t="b">
        <f t="shared" si="1"/>
        <v>1</v>
      </c>
      <c r="N10" t="b">
        <f t="shared" si="2"/>
        <v>0</v>
      </c>
      <c r="O10" t="b">
        <f t="shared" si="3"/>
        <v>0</v>
      </c>
      <c r="P10" t="b">
        <f t="shared" si="4"/>
        <v>0</v>
      </c>
      <c r="Q10" t="b">
        <f t="shared" si="5"/>
        <v>0</v>
      </c>
      <c r="R10" t="b">
        <f t="shared" si="6"/>
        <v>0</v>
      </c>
      <c r="S10" t="b">
        <f t="shared" si="7"/>
        <v>0</v>
      </c>
      <c r="T10" t="b">
        <f t="shared" si="8"/>
        <v>0</v>
      </c>
      <c r="V10" t="s">
        <v>12</v>
      </c>
      <c r="W10">
        <v>11</v>
      </c>
      <c r="X10">
        <f t="shared" si="9"/>
        <v>11</v>
      </c>
      <c r="Z10" s="4" t="s">
        <v>7</v>
      </c>
      <c r="AA10" s="3">
        <f>COUNTIFS(T2:T65,TRUE, V2:V65,"R")</f>
        <v>8</v>
      </c>
      <c r="AB10" s="3">
        <f>SUMIF(T2:T65,TRUE,X2:X65)</f>
        <v>73</v>
      </c>
      <c r="AC10" s="3">
        <f>SUMIF(T2:T65,TRUE,W2:W65)</f>
        <v>73</v>
      </c>
      <c r="AD10" s="3">
        <f t="shared" si="10"/>
        <v>9.125</v>
      </c>
      <c r="AE10" s="1">
        <f t="shared" si="11"/>
        <v>9.125</v>
      </c>
      <c r="AF10" s="1">
        <f t="shared" si="12"/>
        <v>9.125</v>
      </c>
    </row>
    <row r="11" spans="2:32">
      <c r="B11" t="s">
        <v>26</v>
      </c>
      <c r="D11" t="b">
        <f t="shared" si="0"/>
        <v>0</v>
      </c>
      <c r="E11" t="b">
        <f t="shared" si="0"/>
        <v>1</v>
      </c>
      <c r="F11" t="b">
        <f t="shared" si="0"/>
        <v>0</v>
      </c>
      <c r="G11" t="b">
        <f t="shared" si="0"/>
        <v>0</v>
      </c>
      <c r="H11" t="b">
        <f t="shared" si="0"/>
        <v>0</v>
      </c>
      <c r="I11" t="b">
        <f t="shared" si="0"/>
        <v>0</v>
      </c>
      <c r="J11" t="b">
        <f t="shared" si="0"/>
        <v>0</v>
      </c>
      <c r="K11" t="b">
        <f t="shared" si="0"/>
        <v>0</v>
      </c>
      <c r="M11" t="b">
        <f t="shared" si="1"/>
        <v>0</v>
      </c>
      <c r="N11" t="b">
        <f t="shared" si="2"/>
        <v>1</v>
      </c>
      <c r="O11" t="b">
        <f t="shared" si="3"/>
        <v>0</v>
      </c>
      <c r="P11" t="b">
        <f t="shared" si="4"/>
        <v>0</v>
      </c>
      <c r="Q11" t="b">
        <f t="shared" si="5"/>
        <v>0</v>
      </c>
      <c r="R11" t="b">
        <f t="shared" si="6"/>
        <v>0</v>
      </c>
      <c r="S11" t="b">
        <f t="shared" si="7"/>
        <v>0</v>
      </c>
      <c r="T11" t="b">
        <f t="shared" si="8"/>
        <v>0</v>
      </c>
      <c r="V11" t="s">
        <v>12</v>
      </c>
      <c r="W11">
        <v>2</v>
      </c>
      <c r="X11">
        <f t="shared" si="9"/>
        <v>2</v>
      </c>
    </row>
    <row r="12" spans="2:32" ht="13">
      <c r="B12" t="s">
        <v>27</v>
      </c>
      <c r="D12" t="b">
        <f t="shared" ref="D12:K21" si="13">ISNUMBER(SEARCH(_xlfn.CONCAT(D$1,"_"),$B12))</f>
        <v>0</v>
      </c>
      <c r="E12" t="b">
        <f t="shared" si="13"/>
        <v>1</v>
      </c>
      <c r="F12" t="b">
        <f t="shared" si="13"/>
        <v>0</v>
      </c>
      <c r="G12" t="b">
        <f t="shared" si="13"/>
        <v>0</v>
      </c>
      <c r="H12" t="b">
        <f t="shared" si="13"/>
        <v>0</v>
      </c>
      <c r="I12" t="b">
        <f t="shared" si="13"/>
        <v>0</v>
      </c>
      <c r="J12" t="b">
        <f t="shared" si="13"/>
        <v>0</v>
      </c>
      <c r="K12" t="b">
        <f t="shared" si="13"/>
        <v>0</v>
      </c>
      <c r="M12" t="b">
        <f t="shared" si="1"/>
        <v>0</v>
      </c>
      <c r="N12" t="b">
        <f t="shared" si="2"/>
        <v>0</v>
      </c>
      <c r="O12" t="b">
        <f t="shared" si="3"/>
        <v>1</v>
      </c>
      <c r="P12" t="b">
        <f t="shared" si="4"/>
        <v>0</v>
      </c>
      <c r="Q12" t="b">
        <f t="shared" si="5"/>
        <v>0</v>
      </c>
      <c r="R12" t="b">
        <f t="shared" si="6"/>
        <v>0</v>
      </c>
      <c r="S12" t="b">
        <f t="shared" si="7"/>
        <v>0</v>
      </c>
      <c r="T12" t="b">
        <f t="shared" si="8"/>
        <v>0</v>
      </c>
      <c r="V12" t="s">
        <v>12</v>
      </c>
      <c r="W12">
        <v>12</v>
      </c>
      <c r="X12">
        <f t="shared" si="9"/>
        <v>12</v>
      </c>
      <c r="Z12" s="1" t="s">
        <v>28</v>
      </c>
      <c r="AA12" t="s">
        <v>14</v>
      </c>
      <c r="AB12" t="s">
        <v>15</v>
      </c>
      <c r="AC12" t="s">
        <v>83</v>
      </c>
      <c r="AD12" t="s">
        <v>16</v>
      </c>
      <c r="AE12" t="s">
        <v>82</v>
      </c>
      <c r="AF12" t="s">
        <v>84</v>
      </c>
    </row>
    <row r="13" spans="2:32" ht="13">
      <c r="B13" t="s">
        <v>29</v>
      </c>
      <c r="D13" t="b">
        <f t="shared" si="13"/>
        <v>0</v>
      </c>
      <c r="E13" t="b">
        <f t="shared" si="13"/>
        <v>1</v>
      </c>
      <c r="F13" t="b">
        <f t="shared" si="13"/>
        <v>0</v>
      </c>
      <c r="G13" t="b">
        <f t="shared" si="13"/>
        <v>0</v>
      </c>
      <c r="H13" t="b">
        <f t="shared" si="13"/>
        <v>0</v>
      </c>
      <c r="I13" t="b">
        <f t="shared" si="13"/>
        <v>0</v>
      </c>
      <c r="J13" t="b">
        <f t="shared" si="13"/>
        <v>0</v>
      </c>
      <c r="K13" t="b">
        <f t="shared" si="13"/>
        <v>0</v>
      </c>
      <c r="M13" t="b">
        <f t="shared" si="1"/>
        <v>0</v>
      </c>
      <c r="N13" t="b">
        <f t="shared" si="2"/>
        <v>0</v>
      </c>
      <c r="O13" t="b">
        <f t="shared" si="3"/>
        <v>0</v>
      </c>
      <c r="P13" t="b">
        <f t="shared" si="4"/>
        <v>1</v>
      </c>
      <c r="Q13" t="b">
        <f t="shared" si="5"/>
        <v>0</v>
      </c>
      <c r="R13" t="b">
        <f t="shared" si="6"/>
        <v>0</v>
      </c>
      <c r="S13" t="b">
        <f t="shared" si="7"/>
        <v>0</v>
      </c>
      <c r="T13" t="b">
        <f t="shared" si="8"/>
        <v>0</v>
      </c>
      <c r="V13" t="s">
        <v>12</v>
      </c>
      <c r="W13">
        <v>11</v>
      </c>
      <c r="X13">
        <f t="shared" si="9"/>
        <v>11</v>
      </c>
      <c r="Z13" t="s">
        <v>0</v>
      </c>
      <c r="AA13" s="2">
        <f>COUNTIFS(D2:D65,TRUE, V2:V65,"R")</f>
        <v>6</v>
      </c>
      <c r="AB13" s="2">
        <f>SUMIF(D2:D65,TRUE,X2:X65)</f>
        <v>102</v>
      </c>
      <c r="AC13" s="2">
        <f>SUMIF(D2:D65,TRUE,W2:W65)</f>
        <v>75</v>
      </c>
      <c r="AD13" s="2">
        <f t="shared" ref="AD13:AD20" si="14">AB13/8</f>
        <v>12.75</v>
      </c>
      <c r="AE13">
        <f>AC13/8</f>
        <v>9.375</v>
      </c>
      <c r="AF13">
        <f t="shared" si="12"/>
        <v>12.5</v>
      </c>
    </row>
    <row r="14" spans="2:32" ht="13">
      <c r="B14" t="s">
        <v>30</v>
      </c>
      <c r="D14" t="b">
        <f t="shared" si="13"/>
        <v>0</v>
      </c>
      <c r="E14" t="b">
        <f t="shared" si="13"/>
        <v>1</v>
      </c>
      <c r="F14" t="b">
        <f t="shared" si="13"/>
        <v>0</v>
      </c>
      <c r="G14" t="b">
        <f t="shared" si="13"/>
        <v>0</v>
      </c>
      <c r="H14" t="b">
        <f t="shared" si="13"/>
        <v>0</v>
      </c>
      <c r="I14" t="b">
        <f t="shared" si="13"/>
        <v>0</v>
      </c>
      <c r="J14" t="b">
        <f t="shared" si="13"/>
        <v>0</v>
      </c>
      <c r="K14" t="b">
        <f t="shared" si="13"/>
        <v>0</v>
      </c>
      <c r="M14" t="b">
        <f t="shared" si="1"/>
        <v>0</v>
      </c>
      <c r="N14" t="b">
        <f t="shared" si="2"/>
        <v>0</v>
      </c>
      <c r="O14" t="b">
        <f t="shared" si="3"/>
        <v>0</v>
      </c>
      <c r="P14" t="b">
        <f t="shared" si="4"/>
        <v>0</v>
      </c>
      <c r="Q14" t="b">
        <f t="shared" si="5"/>
        <v>1</v>
      </c>
      <c r="R14" t="b">
        <f t="shared" si="6"/>
        <v>0</v>
      </c>
      <c r="S14" t="b">
        <f t="shared" si="7"/>
        <v>0</v>
      </c>
      <c r="T14" t="b">
        <f t="shared" si="8"/>
        <v>0</v>
      </c>
      <c r="V14" t="s">
        <v>18</v>
      </c>
      <c r="W14">
        <v>5</v>
      </c>
      <c r="X14">
        <f t="shared" si="9"/>
        <v>25</v>
      </c>
      <c r="Z14" s="4" t="s">
        <v>1</v>
      </c>
      <c r="AA14" s="2">
        <f>COUNTIFS(E2:E65,TRUE, V2:V65,"R")</f>
        <v>7</v>
      </c>
      <c r="AB14" s="3">
        <f>SUMIF(E2:E65,TRUE,X2:X65)</f>
        <v>96</v>
      </c>
      <c r="AC14" s="3">
        <f>SUMIF(E2:E65,TRUE,W2:W65)</f>
        <v>76</v>
      </c>
      <c r="AD14" s="3">
        <f t="shared" si="14"/>
        <v>12</v>
      </c>
      <c r="AE14">
        <f t="shared" ref="AE14:AE20" si="15">AC14/8</f>
        <v>9.5</v>
      </c>
      <c r="AF14" s="1">
        <f t="shared" si="12"/>
        <v>10.857142857142858</v>
      </c>
    </row>
    <row r="15" spans="2:32" ht="13">
      <c r="B15" t="s">
        <v>31</v>
      </c>
      <c r="D15" t="b">
        <f t="shared" si="13"/>
        <v>0</v>
      </c>
      <c r="E15" t="b">
        <f t="shared" si="13"/>
        <v>1</v>
      </c>
      <c r="F15" t="b">
        <f t="shared" si="13"/>
        <v>0</v>
      </c>
      <c r="G15" t="b">
        <f t="shared" si="13"/>
        <v>0</v>
      </c>
      <c r="H15" t="b">
        <f t="shared" si="13"/>
        <v>0</v>
      </c>
      <c r="I15" t="b">
        <f t="shared" si="13"/>
        <v>0</v>
      </c>
      <c r="J15" t="b">
        <f t="shared" si="13"/>
        <v>0</v>
      </c>
      <c r="K15" t="b">
        <f t="shared" si="13"/>
        <v>0</v>
      </c>
      <c r="M15" t="b">
        <f t="shared" si="1"/>
        <v>0</v>
      </c>
      <c r="N15" t="b">
        <f t="shared" si="2"/>
        <v>0</v>
      </c>
      <c r="O15" t="b">
        <f t="shared" si="3"/>
        <v>0</v>
      </c>
      <c r="P15" t="b">
        <f t="shared" si="4"/>
        <v>0</v>
      </c>
      <c r="Q15" t="b">
        <f t="shared" si="5"/>
        <v>0</v>
      </c>
      <c r="R15" t="b">
        <f t="shared" si="6"/>
        <v>1</v>
      </c>
      <c r="S15" t="b">
        <f t="shared" si="7"/>
        <v>0</v>
      </c>
      <c r="T15" t="b">
        <f t="shared" si="8"/>
        <v>0</v>
      </c>
      <c r="V15" t="s">
        <v>12</v>
      </c>
      <c r="W15">
        <v>10</v>
      </c>
      <c r="X15">
        <f t="shared" si="9"/>
        <v>10</v>
      </c>
      <c r="Z15" t="s">
        <v>2</v>
      </c>
      <c r="AA15" s="2">
        <f>COUNTIFS(F2:F65,TRUE, V2:V65,"R")</f>
        <v>7</v>
      </c>
      <c r="AB15" s="2">
        <f>SUMIF(F2:F65,TRUE,X2:X65)</f>
        <v>108</v>
      </c>
      <c r="AC15" s="2">
        <f>SUMIF(F2:F65,TRUE,W2:W65)</f>
        <v>91</v>
      </c>
      <c r="AD15" s="2">
        <f t="shared" si="14"/>
        <v>13.5</v>
      </c>
      <c r="AE15">
        <f t="shared" si="15"/>
        <v>11.375</v>
      </c>
      <c r="AF15">
        <f t="shared" si="12"/>
        <v>13</v>
      </c>
    </row>
    <row r="16" spans="2:32" ht="13">
      <c r="B16" t="s">
        <v>32</v>
      </c>
      <c r="D16" t="b">
        <f t="shared" si="13"/>
        <v>0</v>
      </c>
      <c r="E16" t="b">
        <f t="shared" si="13"/>
        <v>1</v>
      </c>
      <c r="F16" t="b">
        <f t="shared" si="13"/>
        <v>0</v>
      </c>
      <c r="G16" t="b">
        <f t="shared" si="13"/>
        <v>0</v>
      </c>
      <c r="H16" t="b">
        <f t="shared" si="13"/>
        <v>0</v>
      </c>
      <c r="I16" t="b">
        <f t="shared" si="13"/>
        <v>0</v>
      </c>
      <c r="J16" t="b">
        <f t="shared" si="13"/>
        <v>0</v>
      </c>
      <c r="K16" t="b">
        <f t="shared" si="13"/>
        <v>0</v>
      </c>
      <c r="M16" t="b">
        <f t="shared" si="1"/>
        <v>0</v>
      </c>
      <c r="N16" t="b">
        <f t="shared" si="2"/>
        <v>0</v>
      </c>
      <c r="O16" t="b">
        <f t="shared" si="3"/>
        <v>0</v>
      </c>
      <c r="P16" t="b">
        <f t="shared" si="4"/>
        <v>0</v>
      </c>
      <c r="Q16" t="b">
        <f t="shared" si="5"/>
        <v>0</v>
      </c>
      <c r="R16" t="b">
        <f t="shared" si="6"/>
        <v>0</v>
      </c>
      <c r="S16" t="b">
        <f t="shared" si="7"/>
        <v>1</v>
      </c>
      <c r="T16" t="b">
        <f t="shared" si="8"/>
        <v>0</v>
      </c>
      <c r="V16" t="s">
        <v>12</v>
      </c>
      <c r="W16">
        <v>14</v>
      </c>
      <c r="X16">
        <f t="shared" si="9"/>
        <v>14</v>
      </c>
      <c r="Z16" t="s">
        <v>3</v>
      </c>
      <c r="AA16" s="2">
        <f>COUNTIFS(G2:G65,TRUE, V2:V65,"R")</f>
        <v>5</v>
      </c>
      <c r="AB16" s="2">
        <f>SUMIF(G2:G65,TRUE,X2:X65)</f>
        <v>120</v>
      </c>
      <c r="AC16" s="2">
        <f>SUMIF(G2:G65,TRUE,W2:W65)</f>
        <v>64</v>
      </c>
      <c r="AD16" s="2">
        <f t="shared" si="14"/>
        <v>15</v>
      </c>
      <c r="AE16" s="1">
        <f t="shared" si="15"/>
        <v>8</v>
      </c>
      <c r="AF16">
        <f t="shared" si="12"/>
        <v>12.8</v>
      </c>
    </row>
    <row r="17" spans="2:32" ht="13">
      <c r="B17" t="s">
        <v>33</v>
      </c>
      <c r="D17" t="b">
        <f t="shared" si="13"/>
        <v>0</v>
      </c>
      <c r="E17" t="b">
        <f t="shared" si="13"/>
        <v>1</v>
      </c>
      <c r="F17" t="b">
        <f t="shared" si="13"/>
        <v>0</v>
      </c>
      <c r="G17" t="b">
        <f t="shared" si="13"/>
        <v>0</v>
      </c>
      <c r="H17" t="b">
        <f t="shared" si="13"/>
        <v>0</v>
      </c>
      <c r="I17" t="b">
        <f t="shared" si="13"/>
        <v>0</v>
      </c>
      <c r="J17" t="b">
        <f t="shared" si="13"/>
        <v>0</v>
      </c>
      <c r="K17" t="b">
        <f t="shared" si="13"/>
        <v>0</v>
      </c>
      <c r="M17" t="b">
        <f t="shared" si="1"/>
        <v>0</v>
      </c>
      <c r="N17" t="b">
        <f t="shared" si="2"/>
        <v>0</v>
      </c>
      <c r="O17" t="b">
        <f t="shared" si="3"/>
        <v>0</v>
      </c>
      <c r="P17" t="b">
        <f t="shared" si="4"/>
        <v>0</v>
      </c>
      <c r="Q17" t="b">
        <f t="shared" si="5"/>
        <v>0</v>
      </c>
      <c r="R17" t="b">
        <f t="shared" si="6"/>
        <v>0</v>
      </c>
      <c r="S17" t="b">
        <f t="shared" si="7"/>
        <v>0</v>
      </c>
      <c r="T17" t="b">
        <f t="shared" si="8"/>
        <v>1</v>
      </c>
      <c r="V17" t="s">
        <v>12</v>
      </c>
      <c r="W17">
        <v>11</v>
      </c>
      <c r="X17">
        <f t="shared" si="9"/>
        <v>11</v>
      </c>
      <c r="Z17" t="s">
        <v>4</v>
      </c>
      <c r="AA17" s="2">
        <f>COUNTIFS(H2:H65,TRUE, V2:V65,"R")</f>
        <v>6</v>
      </c>
      <c r="AB17" s="2">
        <f>SUMIF(H2:H65,TRUE,X2:X65)</f>
        <v>120</v>
      </c>
      <c r="AC17" s="2">
        <f>SUMIF(H2:H65,TRUE,W2:W65)</f>
        <v>81</v>
      </c>
      <c r="AD17" s="2">
        <f t="shared" si="14"/>
        <v>15</v>
      </c>
      <c r="AE17">
        <f t="shared" si="15"/>
        <v>10.125</v>
      </c>
      <c r="AF17">
        <f t="shared" si="12"/>
        <v>13.5</v>
      </c>
    </row>
    <row r="18" spans="2:32" ht="13">
      <c r="B18" t="s">
        <v>34</v>
      </c>
      <c r="D18" t="b">
        <f t="shared" si="13"/>
        <v>0</v>
      </c>
      <c r="E18" t="b">
        <f t="shared" si="13"/>
        <v>0</v>
      </c>
      <c r="F18" t="b">
        <f t="shared" si="13"/>
        <v>1</v>
      </c>
      <c r="G18" t="b">
        <f t="shared" si="13"/>
        <v>0</v>
      </c>
      <c r="H18" t="b">
        <f t="shared" si="13"/>
        <v>0</v>
      </c>
      <c r="I18" t="b">
        <f t="shared" si="13"/>
        <v>0</v>
      </c>
      <c r="J18" t="b">
        <f t="shared" si="13"/>
        <v>0</v>
      </c>
      <c r="K18" t="b">
        <f t="shared" si="13"/>
        <v>0</v>
      </c>
      <c r="M18" t="b">
        <f t="shared" si="1"/>
        <v>1</v>
      </c>
      <c r="N18" t="b">
        <f t="shared" si="2"/>
        <v>0</v>
      </c>
      <c r="O18" t="b">
        <f t="shared" si="3"/>
        <v>0</v>
      </c>
      <c r="P18" t="b">
        <f t="shared" si="4"/>
        <v>0</v>
      </c>
      <c r="Q18" t="b">
        <f t="shared" si="5"/>
        <v>0</v>
      </c>
      <c r="R18" t="b">
        <f t="shared" si="6"/>
        <v>0</v>
      </c>
      <c r="S18" t="b">
        <f t="shared" si="7"/>
        <v>0</v>
      </c>
      <c r="T18" t="b">
        <f t="shared" si="8"/>
        <v>0</v>
      </c>
      <c r="V18" t="s">
        <v>12</v>
      </c>
      <c r="W18">
        <v>10</v>
      </c>
      <c r="X18">
        <f t="shared" si="9"/>
        <v>10</v>
      </c>
      <c r="Z18" s="4" t="s">
        <v>5</v>
      </c>
      <c r="AA18" s="3">
        <f>COUNTIFS(I2:I65,TRUE, V2:V65,"R")</f>
        <v>8</v>
      </c>
      <c r="AB18" s="3">
        <f>SUMIF(I2:I65,TRUE,X2:X65)</f>
        <v>85</v>
      </c>
      <c r="AC18" s="3">
        <f>SUMIF(I2:I65,TRUE,W2:W65)</f>
        <v>85</v>
      </c>
      <c r="AD18" s="3">
        <f t="shared" si="14"/>
        <v>10.625</v>
      </c>
      <c r="AE18">
        <f t="shared" si="15"/>
        <v>10.625</v>
      </c>
      <c r="AF18" s="1">
        <f t="shared" si="12"/>
        <v>10.625</v>
      </c>
    </row>
    <row r="19" spans="2:32" ht="13">
      <c r="B19" t="s">
        <v>35</v>
      </c>
      <c r="D19" t="b">
        <f t="shared" si="13"/>
        <v>0</v>
      </c>
      <c r="E19" t="b">
        <f t="shared" si="13"/>
        <v>0</v>
      </c>
      <c r="F19" t="b">
        <f t="shared" si="13"/>
        <v>1</v>
      </c>
      <c r="G19" t="b">
        <f t="shared" si="13"/>
        <v>0</v>
      </c>
      <c r="H19" t="b">
        <f t="shared" si="13"/>
        <v>0</v>
      </c>
      <c r="I19" t="b">
        <f t="shared" si="13"/>
        <v>0</v>
      </c>
      <c r="J19" t="b">
        <f t="shared" si="13"/>
        <v>0</v>
      </c>
      <c r="K19" t="b">
        <f t="shared" si="13"/>
        <v>0</v>
      </c>
      <c r="M19" t="b">
        <f t="shared" si="1"/>
        <v>0</v>
      </c>
      <c r="N19" t="b">
        <f t="shared" si="2"/>
        <v>1</v>
      </c>
      <c r="O19" t="b">
        <f t="shared" si="3"/>
        <v>0</v>
      </c>
      <c r="P19" t="b">
        <f t="shared" si="4"/>
        <v>0</v>
      </c>
      <c r="Q19" t="b">
        <f t="shared" si="5"/>
        <v>0</v>
      </c>
      <c r="R19" t="b">
        <f t="shared" si="6"/>
        <v>0</v>
      </c>
      <c r="S19" t="b">
        <f t="shared" si="7"/>
        <v>0</v>
      </c>
      <c r="T19" t="b">
        <f t="shared" si="8"/>
        <v>0</v>
      </c>
      <c r="V19" t="s">
        <v>18</v>
      </c>
      <c r="W19">
        <v>8</v>
      </c>
      <c r="X19">
        <f t="shared" si="9"/>
        <v>25</v>
      </c>
      <c r="Z19" t="s">
        <v>6</v>
      </c>
      <c r="AA19" s="2">
        <f>COUNTIFS(J2:J65,TRUE, V2:V65,"R")</f>
        <v>4</v>
      </c>
      <c r="AB19" s="2">
        <f>SUMIF(J2:J65,TRUE,X2:X65)</f>
        <v>144</v>
      </c>
      <c r="AC19" s="2">
        <f>SUMIF(J2:J65,TRUE,W2:W65)</f>
        <v>83</v>
      </c>
      <c r="AD19" s="2">
        <f t="shared" si="14"/>
        <v>18</v>
      </c>
      <c r="AE19">
        <f t="shared" si="15"/>
        <v>10.375</v>
      </c>
      <c r="AF19">
        <f t="shared" si="12"/>
        <v>20.75</v>
      </c>
    </row>
    <row r="20" spans="2:32" ht="13">
      <c r="B20" t="s">
        <v>36</v>
      </c>
      <c r="D20" t="b">
        <f t="shared" si="13"/>
        <v>0</v>
      </c>
      <c r="E20" t="b">
        <f t="shared" si="13"/>
        <v>0</v>
      </c>
      <c r="F20" t="b">
        <f t="shared" si="13"/>
        <v>1</v>
      </c>
      <c r="G20" t="b">
        <f t="shared" si="13"/>
        <v>0</v>
      </c>
      <c r="H20" t="b">
        <f t="shared" si="13"/>
        <v>0</v>
      </c>
      <c r="I20" t="b">
        <f t="shared" si="13"/>
        <v>0</v>
      </c>
      <c r="J20" t="b">
        <f t="shared" si="13"/>
        <v>0</v>
      </c>
      <c r="K20" t="b">
        <f t="shared" si="13"/>
        <v>0</v>
      </c>
      <c r="M20" t="b">
        <f t="shared" si="1"/>
        <v>0</v>
      </c>
      <c r="N20" t="b">
        <f t="shared" si="2"/>
        <v>0</v>
      </c>
      <c r="O20" t="b">
        <f t="shared" si="3"/>
        <v>1</v>
      </c>
      <c r="P20" t="b">
        <f t="shared" si="4"/>
        <v>0</v>
      </c>
      <c r="Q20" t="b">
        <f t="shared" si="5"/>
        <v>0</v>
      </c>
      <c r="R20" t="b">
        <f t="shared" si="6"/>
        <v>0</v>
      </c>
      <c r="S20" t="b">
        <f t="shared" si="7"/>
        <v>0</v>
      </c>
      <c r="T20" t="b">
        <f t="shared" si="8"/>
        <v>0</v>
      </c>
      <c r="V20" t="s">
        <v>12</v>
      </c>
      <c r="W20">
        <v>11</v>
      </c>
      <c r="X20">
        <f t="shared" si="9"/>
        <v>11</v>
      </c>
      <c r="Z20" t="s">
        <v>7</v>
      </c>
      <c r="AA20" s="2">
        <f>COUNTIFS(K2:K65,TRUE, V2:V65,"R")</f>
        <v>3</v>
      </c>
      <c r="AB20" s="2">
        <f>SUMIF(K2:K65,TRUE,X2:X65)</f>
        <v>151</v>
      </c>
      <c r="AC20" s="2">
        <f>SUMIF(K2:K65,TRUE,W2:W65)</f>
        <v>82</v>
      </c>
      <c r="AD20" s="2">
        <f t="shared" si="14"/>
        <v>18.875</v>
      </c>
      <c r="AE20">
        <f t="shared" si="15"/>
        <v>10.25</v>
      </c>
      <c r="AF20">
        <f t="shared" si="12"/>
        <v>27.333333333333332</v>
      </c>
    </row>
    <row r="21" spans="2:32">
      <c r="B21" t="s">
        <v>37</v>
      </c>
      <c r="D21" t="b">
        <f t="shared" si="13"/>
        <v>0</v>
      </c>
      <c r="E21" t="b">
        <f t="shared" si="13"/>
        <v>0</v>
      </c>
      <c r="F21" t="b">
        <f t="shared" si="13"/>
        <v>1</v>
      </c>
      <c r="G21" t="b">
        <f t="shared" si="13"/>
        <v>0</v>
      </c>
      <c r="H21" t="b">
        <f t="shared" si="13"/>
        <v>0</v>
      </c>
      <c r="I21" t="b">
        <f t="shared" si="13"/>
        <v>0</v>
      </c>
      <c r="J21" t="b">
        <f t="shared" si="13"/>
        <v>0</v>
      </c>
      <c r="K21" t="b">
        <f t="shared" si="13"/>
        <v>0</v>
      </c>
      <c r="M21" t="b">
        <f t="shared" si="1"/>
        <v>0</v>
      </c>
      <c r="N21" t="b">
        <f t="shared" si="2"/>
        <v>0</v>
      </c>
      <c r="O21" t="b">
        <f t="shared" si="3"/>
        <v>0</v>
      </c>
      <c r="P21" t="b">
        <f t="shared" si="4"/>
        <v>1</v>
      </c>
      <c r="Q21" t="b">
        <f t="shared" si="5"/>
        <v>0</v>
      </c>
      <c r="R21" t="b">
        <f t="shared" si="6"/>
        <v>0</v>
      </c>
      <c r="S21" t="b">
        <f t="shared" si="7"/>
        <v>0</v>
      </c>
      <c r="T21" t="b">
        <f t="shared" si="8"/>
        <v>0</v>
      </c>
      <c r="V21" t="s">
        <v>12</v>
      </c>
      <c r="W21">
        <v>16</v>
      </c>
      <c r="X21">
        <f t="shared" si="9"/>
        <v>16</v>
      </c>
    </row>
    <row r="22" spans="2:32">
      <c r="B22" t="s">
        <v>38</v>
      </c>
      <c r="D22" t="b">
        <f t="shared" ref="D22:K31" si="16">ISNUMBER(SEARCH(_xlfn.CONCAT(D$1,"_"),$B22))</f>
        <v>0</v>
      </c>
      <c r="E22" t="b">
        <f t="shared" si="16"/>
        <v>0</v>
      </c>
      <c r="F22" t="b">
        <f t="shared" si="16"/>
        <v>1</v>
      </c>
      <c r="G22" t="b">
        <f t="shared" si="16"/>
        <v>0</v>
      </c>
      <c r="H22" t="b">
        <f t="shared" si="16"/>
        <v>0</v>
      </c>
      <c r="I22" t="b">
        <f t="shared" si="16"/>
        <v>0</v>
      </c>
      <c r="J22" t="b">
        <f t="shared" si="16"/>
        <v>0</v>
      </c>
      <c r="K22" t="b">
        <f t="shared" si="16"/>
        <v>0</v>
      </c>
      <c r="M22" t="b">
        <f t="shared" si="1"/>
        <v>0</v>
      </c>
      <c r="N22" t="b">
        <f t="shared" si="2"/>
        <v>0</v>
      </c>
      <c r="O22" t="b">
        <f t="shared" si="3"/>
        <v>0</v>
      </c>
      <c r="P22" t="b">
        <f t="shared" si="4"/>
        <v>0</v>
      </c>
      <c r="Q22" t="b">
        <f t="shared" si="5"/>
        <v>1</v>
      </c>
      <c r="R22" t="b">
        <f t="shared" si="6"/>
        <v>0</v>
      </c>
      <c r="S22" t="b">
        <f t="shared" si="7"/>
        <v>0</v>
      </c>
      <c r="T22" t="b">
        <f t="shared" si="8"/>
        <v>0</v>
      </c>
      <c r="V22" t="s">
        <v>12</v>
      </c>
      <c r="W22">
        <v>11</v>
      </c>
      <c r="X22">
        <f t="shared" si="9"/>
        <v>11</v>
      </c>
    </row>
    <row r="23" spans="2:32">
      <c r="B23" t="s">
        <v>39</v>
      </c>
      <c r="D23" t="b">
        <f t="shared" si="16"/>
        <v>0</v>
      </c>
      <c r="E23" t="b">
        <f t="shared" si="16"/>
        <v>0</v>
      </c>
      <c r="F23" t="b">
        <f t="shared" si="16"/>
        <v>1</v>
      </c>
      <c r="G23" t="b">
        <f t="shared" si="16"/>
        <v>0</v>
      </c>
      <c r="H23" t="b">
        <f t="shared" si="16"/>
        <v>0</v>
      </c>
      <c r="I23" t="b">
        <f t="shared" si="16"/>
        <v>0</v>
      </c>
      <c r="J23" t="b">
        <f t="shared" si="16"/>
        <v>0</v>
      </c>
      <c r="K23" t="b">
        <f t="shared" si="16"/>
        <v>0</v>
      </c>
      <c r="M23" t="b">
        <f t="shared" si="1"/>
        <v>0</v>
      </c>
      <c r="N23" t="b">
        <f t="shared" si="2"/>
        <v>0</v>
      </c>
      <c r="O23" t="b">
        <f t="shared" si="3"/>
        <v>0</v>
      </c>
      <c r="P23" t="b">
        <f t="shared" si="4"/>
        <v>0</v>
      </c>
      <c r="Q23" t="b">
        <f t="shared" si="5"/>
        <v>0</v>
      </c>
      <c r="R23" t="b">
        <f t="shared" si="6"/>
        <v>1</v>
      </c>
      <c r="S23" t="b">
        <f t="shared" si="7"/>
        <v>0</v>
      </c>
      <c r="T23" t="b">
        <f t="shared" si="8"/>
        <v>0</v>
      </c>
      <c r="V23" t="s">
        <v>12</v>
      </c>
      <c r="W23">
        <v>8</v>
      </c>
      <c r="X23">
        <f t="shared" si="9"/>
        <v>8</v>
      </c>
    </row>
    <row r="24" spans="2:32">
      <c r="B24" t="s">
        <v>40</v>
      </c>
      <c r="D24" t="b">
        <f t="shared" si="16"/>
        <v>0</v>
      </c>
      <c r="E24" t="b">
        <f t="shared" si="16"/>
        <v>0</v>
      </c>
      <c r="F24" t="b">
        <f t="shared" si="16"/>
        <v>1</v>
      </c>
      <c r="G24" t="b">
        <f t="shared" si="16"/>
        <v>0</v>
      </c>
      <c r="H24" t="b">
        <f t="shared" si="16"/>
        <v>0</v>
      </c>
      <c r="I24" t="b">
        <f t="shared" si="16"/>
        <v>0</v>
      </c>
      <c r="J24" t="b">
        <f t="shared" si="16"/>
        <v>0</v>
      </c>
      <c r="K24" t="b">
        <f t="shared" si="16"/>
        <v>0</v>
      </c>
      <c r="M24" t="b">
        <f t="shared" si="1"/>
        <v>0</v>
      </c>
      <c r="N24" t="b">
        <f t="shared" si="2"/>
        <v>0</v>
      </c>
      <c r="O24" t="b">
        <f t="shared" si="3"/>
        <v>0</v>
      </c>
      <c r="P24" t="b">
        <f t="shared" si="4"/>
        <v>0</v>
      </c>
      <c r="Q24" t="b">
        <f t="shared" si="5"/>
        <v>0</v>
      </c>
      <c r="R24" t="b">
        <f t="shared" si="6"/>
        <v>0</v>
      </c>
      <c r="S24" t="b">
        <f t="shared" si="7"/>
        <v>1</v>
      </c>
      <c r="T24" t="b">
        <f t="shared" si="8"/>
        <v>0</v>
      </c>
      <c r="V24" t="s">
        <v>12</v>
      </c>
      <c r="W24">
        <v>16</v>
      </c>
      <c r="X24">
        <f t="shared" si="9"/>
        <v>16</v>
      </c>
    </row>
    <row r="25" spans="2:32">
      <c r="B25" t="s">
        <v>41</v>
      </c>
      <c r="D25" t="b">
        <f t="shared" si="16"/>
        <v>0</v>
      </c>
      <c r="E25" t="b">
        <f t="shared" si="16"/>
        <v>0</v>
      </c>
      <c r="F25" t="b">
        <f t="shared" si="16"/>
        <v>1</v>
      </c>
      <c r="G25" t="b">
        <f t="shared" si="16"/>
        <v>0</v>
      </c>
      <c r="H25" t="b">
        <f t="shared" si="16"/>
        <v>0</v>
      </c>
      <c r="I25" t="b">
        <f t="shared" si="16"/>
        <v>0</v>
      </c>
      <c r="J25" t="b">
        <f t="shared" si="16"/>
        <v>0</v>
      </c>
      <c r="K25" t="b">
        <f t="shared" si="16"/>
        <v>0</v>
      </c>
      <c r="M25" t="b">
        <f t="shared" si="1"/>
        <v>0</v>
      </c>
      <c r="N25" t="b">
        <f t="shared" si="2"/>
        <v>0</v>
      </c>
      <c r="O25" t="b">
        <f t="shared" si="3"/>
        <v>0</v>
      </c>
      <c r="P25" t="b">
        <f t="shared" si="4"/>
        <v>0</v>
      </c>
      <c r="Q25" t="b">
        <f t="shared" si="5"/>
        <v>0</v>
      </c>
      <c r="R25" t="b">
        <f t="shared" si="6"/>
        <v>0</v>
      </c>
      <c r="S25" t="b">
        <f t="shared" si="7"/>
        <v>0</v>
      </c>
      <c r="T25" t="b">
        <f t="shared" si="8"/>
        <v>1</v>
      </c>
      <c r="V25" t="s">
        <v>12</v>
      </c>
      <c r="W25">
        <v>11</v>
      </c>
      <c r="X25">
        <f t="shared" si="9"/>
        <v>11</v>
      </c>
    </row>
    <row r="26" spans="2:32">
      <c r="B26" t="s">
        <v>42</v>
      </c>
      <c r="D26" t="b">
        <f t="shared" si="16"/>
        <v>0</v>
      </c>
      <c r="E26" t="b">
        <f t="shared" si="16"/>
        <v>0</v>
      </c>
      <c r="F26" t="b">
        <f t="shared" si="16"/>
        <v>0</v>
      </c>
      <c r="G26" t="b">
        <f t="shared" si="16"/>
        <v>1</v>
      </c>
      <c r="H26" t="b">
        <f t="shared" si="16"/>
        <v>0</v>
      </c>
      <c r="I26" t="b">
        <f t="shared" si="16"/>
        <v>0</v>
      </c>
      <c r="J26" t="b">
        <f t="shared" si="16"/>
        <v>0</v>
      </c>
      <c r="K26" t="b">
        <f t="shared" si="16"/>
        <v>0</v>
      </c>
      <c r="M26" t="b">
        <f t="shared" si="1"/>
        <v>1</v>
      </c>
      <c r="N26" t="b">
        <f t="shared" si="2"/>
        <v>0</v>
      </c>
      <c r="O26" t="b">
        <f t="shared" si="3"/>
        <v>0</v>
      </c>
      <c r="P26" t="b">
        <f t="shared" si="4"/>
        <v>0</v>
      </c>
      <c r="Q26" t="b">
        <f t="shared" si="5"/>
        <v>0</v>
      </c>
      <c r="R26" t="b">
        <f t="shared" si="6"/>
        <v>0</v>
      </c>
      <c r="S26" t="b">
        <f t="shared" si="7"/>
        <v>0</v>
      </c>
      <c r="T26" t="b">
        <f t="shared" si="8"/>
        <v>0</v>
      </c>
      <c r="V26" t="s">
        <v>12</v>
      </c>
      <c r="W26">
        <v>10</v>
      </c>
      <c r="X26">
        <f t="shared" si="9"/>
        <v>10</v>
      </c>
    </row>
    <row r="27" spans="2:32">
      <c r="B27" t="s">
        <v>43</v>
      </c>
      <c r="D27" t="b">
        <f t="shared" si="16"/>
        <v>0</v>
      </c>
      <c r="E27" t="b">
        <f t="shared" si="16"/>
        <v>0</v>
      </c>
      <c r="F27" t="b">
        <f t="shared" si="16"/>
        <v>0</v>
      </c>
      <c r="G27" t="b">
        <f t="shared" si="16"/>
        <v>1</v>
      </c>
      <c r="H27" t="b">
        <f t="shared" si="16"/>
        <v>0</v>
      </c>
      <c r="I27" t="b">
        <f t="shared" si="16"/>
        <v>0</v>
      </c>
      <c r="J27" t="b">
        <f t="shared" si="16"/>
        <v>0</v>
      </c>
      <c r="K27" t="b">
        <f t="shared" si="16"/>
        <v>0</v>
      </c>
      <c r="M27" t="b">
        <f t="shared" si="1"/>
        <v>0</v>
      </c>
      <c r="N27" t="b">
        <f t="shared" si="2"/>
        <v>1</v>
      </c>
      <c r="O27" t="b">
        <f t="shared" si="3"/>
        <v>0</v>
      </c>
      <c r="P27" t="b">
        <f t="shared" si="4"/>
        <v>0</v>
      </c>
      <c r="Q27" t="b">
        <f t="shared" si="5"/>
        <v>0</v>
      </c>
      <c r="R27" t="b">
        <f t="shared" si="6"/>
        <v>0</v>
      </c>
      <c r="S27" t="b">
        <f t="shared" si="7"/>
        <v>0</v>
      </c>
      <c r="T27" t="b">
        <f t="shared" si="8"/>
        <v>0</v>
      </c>
      <c r="V27" t="s">
        <v>12</v>
      </c>
      <c r="W27">
        <v>16</v>
      </c>
      <c r="X27">
        <f t="shared" si="9"/>
        <v>16</v>
      </c>
    </row>
    <row r="28" spans="2:32">
      <c r="B28" t="s">
        <v>44</v>
      </c>
      <c r="D28" t="b">
        <f t="shared" si="16"/>
        <v>0</v>
      </c>
      <c r="E28" t="b">
        <f t="shared" si="16"/>
        <v>0</v>
      </c>
      <c r="F28" t="b">
        <f t="shared" si="16"/>
        <v>0</v>
      </c>
      <c r="G28" t="b">
        <f t="shared" si="16"/>
        <v>1</v>
      </c>
      <c r="H28" t="b">
        <f t="shared" si="16"/>
        <v>0</v>
      </c>
      <c r="I28" t="b">
        <f t="shared" si="16"/>
        <v>0</v>
      </c>
      <c r="J28" t="b">
        <f t="shared" si="16"/>
        <v>0</v>
      </c>
      <c r="K28" t="b">
        <f t="shared" si="16"/>
        <v>0</v>
      </c>
      <c r="M28" t="b">
        <f t="shared" si="1"/>
        <v>0</v>
      </c>
      <c r="N28" t="b">
        <f t="shared" si="2"/>
        <v>0</v>
      </c>
      <c r="O28" t="b">
        <f t="shared" si="3"/>
        <v>1</v>
      </c>
      <c r="P28" t="b">
        <f t="shared" si="4"/>
        <v>0</v>
      </c>
      <c r="Q28" t="b">
        <f t="shared" si="5"/>
        <v>0</v>
      </c>
      <c r="R28" t="b">
        <f t="shared" si="6"/>
        <v>0</v>
      </c>
      <c r="S28" t="b">
        <f t="shared" si="7"/>
        <v>0</v>
      </c>
      <c r="T28" t="b">
        <f t="shared" si="8"/>
        <v>0</v>
      </c>
      <c r="V28" t="s">
        <v>12</v>
      </c>
      <c r="W28">
        <v>7</v>
      </c>
      <c r="X28">
        <f t="shared" si="9"/>
        <v>7</v>
      </c>
    </row>
    <row r="29" spans="2:32">
      <c r="B29" t="s">
        <v>45</v>
      </c>
      <c r="D29" t="b">
        <f t="shared" si="16"/>
        <v>0</v>
      </c>
      <c r="E29" t="b">
        <f t="shared" si="16"/>
        <v>0</v>
      </c>
      <c r="F29" t="b">
        <f t="shared" si="16"/>
        <v>0</v>
      </c>
      <c r="G29" t="b">
        <f t="shared" si="16"/>
        <v>1</v>
      </c>
      <c r="H29" t="b">
        <f t="shared" si="16"/>
        <v>0</v>
      </c>
      <c r="I29" t="b">
        <f t="shared" si="16"/>
        <v>0</v>
      </c>
      <c r="J29" t="b">
        <f t="shared" si="16"/>
        <v>0</v>
      </c>
      <c r="K29" t="b">
        <f t="shared" si="16"/>
        <v>0</v>
      </c>
      <c r="M29" t="b">
        <f t="shared" si="1"/>
        <v>0</v>
      </c>
      <c r="N29" t="b">
        <f t="shared" si="2"/>
        <v>0</v>
      </c>
      <c r="O29" t="b">
        <f t="shared" si="3"/>
        <v>0</v>
      </c>
      <c r="P29" t="b">
        <f t="shared" si="4"/>
        <v>1</v>
      </c>
      <c r="Q29" t="b">
        <f t="shared" si="5"/>
        <v>0</v>
      </c>
      <c r="R29" t="b">
        <f t="shared" si="6"/>
        <v>0</v>
      </c>
      <c r="S29" t="b">
        <f t="shared" si="7"/>
        <v>0</v>
      </c>
      <c r="T29" t="b">
        <f t="shared" si="8"/>
        <v>0</v>
      </c>
      <c r="V29" t="s">
        <v>12</v>
      </c>
      <c r="W29">
        <v>3</v>
      </c>
      <c r="X29">
        <f t="shared" si="9"/>
        <v>3</v>
      </c>
    </row>
    <row r="30" spans="2:32">
      <c r="B30" t="s">
        <v>46</v>
      </c>
      <c r="D30" t="b">
        <f t="shared" si="16"/>
        <v>0</v>
      </c>
      <c r="E30" t="b">
        <f t="shared" si="16"/>
        <v>0</v>
      </c>
      <c r="F30" t="b">
        <f t="shared" si="16"/>
        <v>0</v>
      </c>
      <c r="G30" t="b">
        <f t="shared" si="16"/>
        <v>1</v>
      </c>
      <c r="H30" t="b">
        <f t="shared" si="16"/>
        <v>0</v>
      </c>
      <c r="I30" t="b">
        <f t="shared" si="16"/>
        <v>0</v>
      </c>
      <c r="J30" t="b">
        <f t="shared" si="16"/>
        <v>0</v>
      </c>
      <c r="K30" t="b">
        <f t="shared" si="16"/>
        <v>0</v>
      </c>
      <c r="M30" t="b">
        <f t="shared" si="1"/>
        <v>0</v>
      </c>
      <c r="N30" t="b">
        <f t="shared" si="2"/>
        <v>0</v>
      </c>
      <c r="O30" t="b">
        <f t="shared" si="3"/>
        <v>0</v>
      </c>
      <c r="P30" t="b">
        <f t="shared" si="4"/>
        <v>0</v>
      </c>
      <c r="Q30" t="b">
        <f t="shared" si="5"/>
        <v>1</v>
      </c>
      <c r="R30" t="b">
        <f t="shared" si="6"/>
        <v>0</v>
      </c>
      <c r="S30" t="b">
        <f t="shared" si="7"/>
        <v>0</v>
      </c>
      <c r="T30" t="b">
        <f t="shared" si="8"/>
        <v>0</v>
      </c>
      <c r="V30" t="s">
        <v>18</v>
      </c>
      <c r="W30">
        <v>6</v>
      </c>
      <c r="X30">
        <f t="shared" si="9"/>
        <v>25</v>
      </c>
    </row>
    <row r="31" spans="2:32">
      <c r="B31" t="s">
        <v>47</v>
      </c>
      <c r="D31" t="b">
        <f t="shared" si="16"/>
        <v>0</v>
      </c>
      <c r="E31" t="b">
        <f t="shared" si="16"/>
        <v>0</v>
      </c>
      <c r="F31" t="b">
        <f t="shared" si="16"/>
        <v>0</v>
      </c>
      <c r="G31" t="b">
        <f t="shared" si="16"/>
        <v>1</v>
      </c>
      <c r="H31" t="b">
        <f t="shared" si="16"/>
        <v>0</v>
      </c>
      <c r="I31" t="b">
        <f t="shared" si="16"/>
        <v>0</v>
      </c>
      <c r="J31" t="b">
        <f t="shared" si="16"/>
        <v>0</v>
      </c>
      <c r="K31" t="b">
        <f t="shared" si="16"/>
        <v>0</v>
      </c>
      <c r="M31" t="b">
        <f t="shared" si="1"/>
        <v>0</v>
      </c>
      <c r="N31" t="b">
        <f t="shared" si="2"/>
        <v>0</v>
      </c>
      <c r="O31" t="b">
        <f t="shared" si="3"/>
        <v>0</v>
      </c>
      <c r="P31" t="b">
        <f t="shared" si="4"/>
        <v>0</v>
      </c>
      <c r="Q31" t="b">
        <f t="shared" si="5"/>
        <v>0</v>
      </c>
      <c r="R31" t="b">
        <f t="shared" si="6"/>
        <v>1</v>
      </c>
      <c r="S31" t="b">
        <f t="shared" si="7"/>
        <v>0</v>
      </c>
      <c r="T31" t="b">
        <f t="shared" si="8"/>
        <v>0</v>
      </c>
      <c r="V31" t="s">
        <v>18</v>
      </c>
      <c r="W31">
        <v>8</v>
      </c>
      <c r="X31">
        <f t="shared" si="9"/>
        <v>25</v>
      </c>
    </row>
    <row r="32" spans="2:32">
      <c r="B32" t="s">
        <v>48</v>
      </c>
      <c r="D32" t="b">
        <f t="shared" ref="D32:K41" si="17">ISNUMBER(SEARCH(_xlfn.CONCAT(D$1,"_"),$B32))</f>
        <v>0</v>
      </c>
      <c r="E32" t="b">
        <f t="shared" si="17"/>
        <v>0</v>
      </c>
      <c r="F32" t="b">
        <f t="shared" si="17"/>
        <v>0</v>
      </c>
      <c r="G32" t="b">
        <f t="shared" si="17"/>
        <v>1</v>
      </c>
      <c r="H32" t="b">
        <f t="shared" si="17"/>
        <v>0</v>
      </c>
      <c r="I32" t="b">
        <f t="shared" si="17"/>
        <v>0</v>
      </c>
      <c r="J32" t="b">
        <f t="shared" si="17"/>
        <v>0</v>
      </c>
      <c r="K32" t="b">
        <f t="shared" si="17"/>
        <v>0</v>
      </c>
      <c r="M32" t="b">
        <f t="shared" si="1"/>
        <v>0</v>
      </c>
      <c r="N32" t="b">
        <f t="shared" si="2"/>
        <v>0</v>
      </c>
      <c r="O32" t="b">
        <f t="shared" si="3"/>
        <v>0</v>
      </c>
      <c r="P32" t="b">
        <f t="shared" si="4"/>
        <v>0</v>
      </c>
      <c r="Q32" t="b">
        <f t="shared" si="5"/>
        <v>0</v>
      </c>
      <c r="R32" t="b">
        <f t="shared" si="6"/>
        <v>0</v>
      </c>
      <c r="S32" t="b">
        <f t="shared" si="7"/>
        <v>1</v>
      </c>
      <c r="T32" t="b">
        <f t="shared" si="8"/>
        <v>0</v>
      </c>
      <c r="V32" t="s">
        <v>18</v>
      </c>
      <c r="W32">
        <v>5</v>
      </c>
      <c r="X32">
        <f t="shared" si="9"/>
        <v>25</v>
      </c>
    </row>
    <row r="33" spans="2:24">
      <c r="B33" t="s">
        <v>49</v>
      </c>
      <c r="D33" t="b">
        <f t="shared" si="17"/>
        <v>0</v>
      </c>
      <c r="E33" t="b">
        <f t="shared" si="17"/>
        <v>0</v>
      </c>
      <c r="F33" t="b">
        <f t="shared" si="17"/>
        <v>0</v>
      </c>
      <c r="G33" t="b">
        <f t="shared" si="17"/>
        <v>1</v>
      </c>
      <c r="H33" t="b">
        <f t="shared" si="17"/>
        <v>0</v>
      </c>
      <c r="I33" t="b">
        <f t="shared" si="17"/>
        <v>0</v>
      </c>
      <c r="J33" t="b">
        <f t="shared" si="17"/>
        <v>0</v>
      </c>
      <c r="K33" t="b">
        <f t="shared" si="17"/>
        <v>0</v>
      </c>
      <c r="M33" t="b">
        <f t="shared" si="1"/>
        <v>0</v>
      </c>
      <c r="N33" t="b">
        <f t="shared" si="2"/>
        <v>0</v>
      </c>
      <c r="O33" t="b">
        <f t="shared" si="3"/>
        <v>0</v>
      </c>
      <c r="P33" t="b">
        <f t="shared" si="4"/>
        <v>0</v>
      </c>
      <c r="Q33" t="b">
        <f t="shared" si="5"/>
        <v>0</v>
      </c>
      <c r="R33" t="b">
        <f t="shared" si="6"/>
        <v>0</v>
      </c>
      <c r="S33" t="b">
        <f t="shared" si="7"/>
        <v>0</v>
      </c>
      <c r="T33" t="b">
        <f t="shared" si="8"/>
        <v>1</v>
      </c>
      <c r="V33" t="s">
        <v>12</v>
      </c>
      <c r="W33">
        <v>9</v>
      </c>
      <c r="X33">
        <f t="shared" si="9"/>
        <v>9</v>
      </c>
    </row>
    <row r="34" spans="2:24">
      <c r="B34" t="s">
        <v>50</v>
      </c>
      <c r="D34" t="b">
        <f t="shared" si="17"/>
        <v>0</v>
      </c>
      <c r="E34" t="b">
        <f t="shared" si="17"/>
        <v>0</v>
      </c>
      <c r="F34" t="b">
        <f t="shared" si="17"/>
        <v>0</v>
      </c>
      <c r="G34" t="b">
        <f t="shared" si="17"/>
        <v>0</v>
      </c>
      <c r="H34" t="b">
        <f t="shared" si="17"/>
        <v>1</v>
      </c>
      <c r="I34" t="b">
        <f t="shared" si="17"/>
        <v>0</v>
      </c>
      <c r="J34" t="b">
        <f t="shared" si="17"/>
        <v>0</v>
      </c>
      <c r="K34" t="b">
        <f t="shared" si="17"/>
        <v>0</v>
      </c>
      <c r="M34" t="b">
        <f t="shared" ref="M34:M65" si="18">ISNUMBER(SEARCH(_xlfn.CONCAT("_",D$1),$B34))</f>
        <v>1</v>
      </c>
      <c r="N34" t="b">
        <f t="shared" ref="N34:N65" si="19">ISNUMBER(SEARCH(_xlfn.CONCAT("_",E$1),$B34))</f>
        <v>0</v>
      </c>
      <c r="O34" t="b">
        <f t="shared" ref="O34:O65" si="20">ISNUMBER(SEARCH(_xlfn.CONCAT("_",F$1),$B34))</f>
        <v>0</v>
      </c>
      <c r="P34" t="b">
        <f t="shared" ref="P34:P65" si="21">ISNUMBER(SEARCH(_xlfn.CONCAT("_",G$1),$B34))</f>
        <v>0</v>
      </c>
      <c r="Q34" t="b">
        <f t="shared" ref="Q34:Q65" si="22">ISNUMBER(SEARCH(_xlfn.CONCAT("_",H$1),$B34))</f>
        <v>0</v>
      </c>
      <c r="R34" t="b">
        <f t="shared" ref="R34:R65" si="23">ISNUMBER(SEARCH(_xlfn.CONCAT("_",I$1),$B34))</f>
        <v>0</v>
      </c>
      <c r="S34" t="b">
        <f t="shared" ref="S34:S65" si="24">ISNUMBER(SEARCH(_xlfn.CONCAT("_",J$1),$B34))</f>
        <v>0</v>
      </c>
      <c r="T34" t="b">
        <f t="shared" ref="T34:T65" si="25">ISNUMBER(SEARCH(_xlfn.CONCAT("_",K$1),$B34))</f>
        <v>0</v>
      </c>
      <c r="V34" t="s">
        <v>12</v>
      </c>
      <c r="W34">
        <v>11</v>
      </c>
      <c r="X34">
        <f t="shared" ref="X34:X65" si="26">IF(V34="R",W34,25)</f>
        <v>11</v>
      </c>
    </row>
    <row r="35" spans="2:24">
      <c r="B35" t="s">
        <v>51</v>
      </c>
      <c r="D35" t="b">
        <f t="shared" si="17"/>
        <v>0</v>
      </c>
      <c r="E35" t="b">
        <f t="shared" si="17"/>
        <v>0</v>
      </c>
      <c r="F35" t="b">
        <f t="shared" si="17"/>
        <v>0</v>
      </c>
      <c r="G35" t="b">
        <f t="shared" si="17"/>
        <v>0</v>
      </c>
      <c r="H35" t="b">
        <f t="shared" si="17"/>
        <v>1</v>
      </c>
      <c r="I35" t="b">
        <f t="shared" si="17"/>
        <v>0</v>
      </c>
      <c r="J35" t="b">
        <f t="shared" si="17"/>
        <v>0</v>
      </c>
      <c r="K35" t="b">
        <f t="shared" si="17"/>
        <v>0</v>
      </c>
      <c r="M35" t="b">
        <f t="shared" si="18"/>
        <v>0</v>
      </c>
      <c r="N35" t="b">
        <f t="shared" si="19"/>
        <v>1</v>
      </c>
      <c r="O35" t="b">
        <f t="shared" si="20"/>
        <v>0</v>
      </c>
      <c r="P35" t="b">
        <f t="shared" si="21"/>
        <v>0</v>
      </c>
      <c r="Q35" t="b">
        <f t="shared" si="22"/>
        <v>0</v>
      </c>
      <c r="R35" t="b">
        <f t="shared" si="23"/>
        <v>0</v>
      </c>
      <c r="S35" t="b">
        <f t="shared" si="24"/>
        <v>0</v>
      </c>
      <c r="T35" t="b">
        <f t="shared" si="25"/>
        <v>0</v>
      </c>
      <c r="V35" t="s">
        <v>18</v>
      </c>
      <c r="W35">
        <v>4</v>
      </c>
      <c r="X35">
        <f t="shared" si="26"/>
        <v>25</v>
      </c>
    </row>
    <row r="36" spans="2:24">
      <c r="B36" t="s">
        <v>52</v>
      </c>
      <c r="D36" t="b">
        <f t="shared" si="17"/>
        <v>0</v>
      </c>
      <c r="E36" t="b">
        <f t="shared" si="17"/>
        <v>0</v>
      </c>
      <c r="F36" t="b">
        <f t="shared" si="17"/>
        <v>0</v>
      </c>
      <c r="G36" t="b">
        <f t="shared" si="17"/>
        <v>0</v>
      </c>
      <c r="H36" t="b">
        <f t="shared" si="17"/>
        <v>1</v>
      </c>
      <c r="I36" t="b">
        <f t="shared" si="17"/>
        <v>0</v>
      </c>
      <c r="J36" t="b">
        <f t="shared" si="17"/>
        <v>0</v>
      </c>
      <c r="K36" t="b">
        <f t="shared" si="17"/>
        <v>0</v>
      </c>
      <c r="M36" t="b">
        <f t="shared" si="18"/>
        <v>0</v>
      </c>
      <c r="N36" t="b">
        <f t="shared" si="19"/>
        <v>0</v>
      </c>
      <c r="O36" t="b">
        <f t="shared" si="20"/>
        <v>1</v>
      </c>
      <c r="P36" t="b">
        <f t="shared" si="21"/>
        <v>0</v>
      </c>
      <c r="Q36" t="b">
        <f t="shared" si="22"/>
        <v>0</v>
      </c>
      <c r="R36" t="b">
        <f t="shared" si="23"/>
        <v>0</v>
      </c>
      <c r="S36" t="b">
        <f t="shared" si="24"/>
        <v>0</v>
      </c>
      <c r="T36" t="b">
        <f t="shared" si="25"/>
        <v>0</v>
      </c>
      <c r="V36" t="s">
        <v>12</v>
      </c>
      <c r="W36">
        <v>12</v>
      </c>
      <c r="X36">
        <f t="shared" si="26"/>
        <v>12</v>
      </c>
    </row>
    <row r="37" spans="2:24">
      <c r="B37" t="s">
        <v>53</v>
      </c>
      <c r="D37" t="b">
        <f t="shared" si="17"/>
        <v>0</v>
      </c>
      <c r="E37" t="b">
        <f t="shared" si="17"/>
        <v>0</v>
      </c>
      <c r="F37" t="b">
        <f t="shared" si="17"/>
        <v>0</v>
      </c>
      <c r="G37" t="b">
        <f t="shared" si="17"/>
        <v>0</v>
      </c>
      <c r="H37" t="b">
        <f t="shared" si="17"/>
        <v>1</v>
      </c>
      <c r="I37" t="b">
        <f t="shared" si="17"/>
        <v>0</v>
      </c>
      <c r="J37" t="b">
        <f t="shared" si="17"/>
        <v>0</v>
      </c>
      <c r="K37" t="b">
        <f t="shared" si="17"/>
        <v>0</v>
      </c>
      <c r="M37" t="b">
        <f t="shared" si="18"/>
        <v>0</v>
      </c>
      <c r="N37" t="b">
        <f t="shared" si="19"/>
        <v>0</v>
      </c>
      <c r="O37" t="b">
        <f t="shared" si="20"/>
        <v>0</v>
      </c>
      <c r="P37" t="b">
        <f t="shared" si="21"/>
        <v>1</v>
      </c>
      <c r="Q37" t="b">
        <f t="shared" si="22"/>
        <v>0</v>
      </c>
      <c r="R37" t="b">
        <f t="shared" si="23"/>
        <v>0</v>
      </c>
      <c r="S37" t="b">
        <f t="shared" si="24"/>
        <v>0</v>
      </c>
      <c r="T37" t="b">
        <f t="shared" si="25"/>
        <v>0</v>
      </c>
      <c r="V37" t="s">
        <v>12</v>
      </c>
      <c r="W37">
        <v>10</v>
      </c>
      <c r="X37">
        <f t="shared" si="26"/>
        <v>10</v>
      </c>
    </row>
    <row r="38" spans="2:24">
      <c r="B38" t="s">
        <v>54</v>
      </c>
      <c r="D38" t="b">
        <f t="shared" si="17"/>
        <v>0</v>
      </c>
      <c r="E38" t="b">
        <f t="shared" si="17"/>
        <v>0</v>
      </c>
      <c r="F38" t="b">
        <f t="shared" si="17"/>
        <v>0</v>
      </c>
      <c r="G38" t="b">
        <f t="shared" si="17"/>
        <v>0</v>
      </c>
      <c r="H38" t="b">
        <f t="shared" si="17"/>
        <v>1</v>
      </c>
      <c r="I38" t="b">
        <f t="shared" si="17"/>
        <v>0</v>
      </c>
      <c r="J38" t="b">
        <f t="shared" si="17"/>
        <v>0</v>
      </c>
      <c r="K38" t="b">
        <f t="shared" si="17"/>
        <v>0</v>
      </c>
      <c r="M38" t="b">
        <f t="shared" si="18"/>
        <v>0</v>
      </c>
      <c r="N38" t="b">
        <f t="shared" si="19"/>
        <v>0</v>
      </c>
      <c r="O38" t="b">
        <f t="shared" si="20"/>
        <v>0</v>
      </c>
      <c r="P38" t="b">
        <f t="shared" si="21"/>
        <v>0</v>
      </c>
      <c r="Q38" t="b">
        <f t="shared" si="22"/>
        <v>1</v>
      </c>
      <c r="R38" t="b">
        <f t="shared" si="23"/>
        <v>0</v>
      </c>
      <c r="S38" t="b">
        <f t="shared" si="24"/>
        <v>0</v>
      </c>
      <c r="T38" t="b">
        <f t="shared" si="25"/>
        <v>0</v>
      </c>
      <c r="V38" t="s">
        <v>18</v>
      </c>
      <c r="W38">
        <v>7</v>
      </c>
      <c r="X38">
        <f t="shared" si="26"/>
        <v>25</v>
      </c>
    </row>
    <row r="39" spans="2:24">
      <c r="B39" t="s">
        <v>55</v>
      </c>
      <c r="D39" t="b">
        <f t="shared" si="17"/>
        <v>0</v>
      </c>
      <c r="E39" t="b">
        <f t="shared" si="17"/>
        <v>0</v>
      </c>
      <c r="F39" t="b">
        <f t="shared" si="17"/>
        <v>0</v>
      </c>
      <c r="G39" t="b">
        <f t="shared" si="17"/>
        <v>0</v>
      </c>
      <c r="H39" t="b">
        <f t="shared" si="17"/>
        <v>1</v>
      </c>
      <c r="I39" t="b">
        <f t="shared" si="17"/>
        <v>0</v>
      </c>
      <c r="J39" t="b">
        <f t="shared" si="17"/>
        <v>0</v>
      </c>
      <c r="K39" t="b">
        <f t="shared" si="17"/>
        <v>0</v>
      </c>
      <c r="M39" t="b">
        <f t="shared" si="18"/>
        <v>0</v>
      </c>
      <c r="N39" t="b">
        <f t="shared" si="19"/>
        <v>0</v>
      </c>
      <c r="O39" t="b">
        <f t="shared" si="20"/>
        <v>0</v>
      </c>
      <c r="P39" t="b">
        <f t="shared" si="21"/>
        <v>0</v>
      </c>
      <c r="Q39" t="b">
        <f t="shared" si="22"/>
        <v>0</v>
      </c>
      <c r="R39" t="b">
        <f t="shared" si="23"/>
        <v>1</v>
      </c>
      <c r="S39" t="b">
        <f t="shared" si="24"/>
        <v>0</v>
      </c>
      <c r="T39" t="b">
        <f t="shared" si="25"/>
        <v>0</v>
      </c>
      <c r="V39" t="s">
        <v>12</v>
      </c>
      <c r="W39">
        <v>9</v>
      </c>
      <c r="X39">
        <f t="shared" si="26"/>
        <v>9</v>
      </c>
    </row>
    <row r="40" spans="2:24">
      <c r="B40" t="s">
        <v>56</v>
      </c>
      <c r="D40" t="b">
        <f t="shared" si="17"/>
        <v>0</v>
      </c>
      <c r="E40" t="b">
        <f t="shared" si="17"/>
        <v>0</v>
      </c>
      <c r="F40" t="b">
        <f t="shared" si="17"/>
        <v>0</v>
      </c>
      <c r="G40" t="b">
        <f t="shared" si="17"/>
        <v>0</v>
      </c>
      <c r="H40" t="b">
        <f t="shared" si="17"/>
        <v>1</v>
      </c>
      <c r="I40" t="b">
        <f t="shared" si="17"/>
        <v>0</v>
      </c>
      <c r="J40" t="b">
        <f t="shared" si="17"/>
        <v>0</v>
      </c>
      <c r="K40" t="b">
        <f t="shared" si="17"/>
        <v>0</v>
      </c>
      <c r="M40" t="b">
        <f t="shared" si="18"/>
        <v>0</v>
      </c>
      <c r="N40" t="b">
        <f t="shared" si="19"/>
        <v>0</v>
      </c>
      <c r="O40" t="b">
        <f t="shared" si="20"/>
        <v>0</v>
      </c>
      <c r="P40" t="b">
        <f t="shared" si="21"/>
        <v>0</v>
      </c>
      <c r="Q40" t="b">
        <f t="shared" si="22"/>
        <v>0</v>
      </c>
      <c r="R40" t="b">
        <f t="shared" si="23"/>
        <v>0</v>
      </c>
      <c r="S40" t="b">
        <f t="shared" si="24"/>
        <v>1</v>
      </c>
      <c r="T40" t="b">
        <f t="shared" si="25"/>
        <v>0</v>
      </c>
      <c r="V40" t="s">
        <v>12</v>
      </c>
      <c r="W40">
        <v>17</v>
      </c>
      <c r="X40">
        <f t="shared" si="26"/>
        <v>17</v>
      </c>
    </row>
    <row r="41" spans="2:24">
      <c r="B41" t="s">
        <v>57</v>
      </c>
      <c r="D41" t="b">
        <f t="shared" si="17"/>
        <v>0</v>
      </c>
      <c r="E41" t="b">
        <f t="shared" si="17"/>
        <v>0</v>
      </c>
      <c r="F41" t="b">
        <f t="shared" si="17"/>
        <v>0</v>
      </c>
      <c r="G41" t="b">
        <f t="shared" si="17"/>
        <v>0</v>
      </c>
      <c r="H41" t="b">
        <f t="shared" si="17"/>
        <v>1</v>
      </c>
      <c r="I41" t="b">
        <f t="shared" si="17"/>
        <v>0</v>
      </c>
      <c r="J41" t="b">
        <f t="shared" si="17"/>
        <v>0</v>
      </c>
      <c r="K41" t="b">
        <f t="shared" si="17"/>
        <v>0</v>
      </c>
      <c r="M41" t="b">
        <f t="shared" si="18"/>
        <v>0</v>
      </c>
      <c r="N41" t="b">
        <f t="shared" si="19"/>
        <v>0</v>
      </c>
      <c r="O41" t="b">
        <f t="shared" si="20"/>
        <v>0</v>
      </c>
      <c r="P41" t="b">
        <f t="shared" si="21"/>
        <v>0</v>
      </c>
      <c r="Q41" t="b">
        <f t="shared" si="22"/>
        <v>0</v>
      </c>
      <c r="R41" t="b">
        <f t="shared" si="23"/>
        <v>0</v>
      </c>
      <c r="S41" t="b">
        <f t="shared" si="24"/>
        <v>0</v>
      </c>
      <c r="T41" t="b">
        <f t="shared" si="25"/>
        <v>1</v>
      </c>
      <c r="V41" t="s">
        <v>12</v>
      </c>
      <c r="W41">
        <v>11</v>
      </c>
      <c r="X41">
        <f t="shared" si="26"/>
        <v>11</v>
      </c>
    </row>
    <row r="42" spans="2:24">
      <c r="B42" t="s">
        <v>58</v>
      </c>
      <c r="D42" t="b">
        <f t="shared" ref="D42:K51" si="27">ISNUMBER(SEARCH(_xlfn.CONCAT(D$1,"_"),$B42))</f>
        <v>0</v>
      </c>
      <c r="E42" t="b">
        <f t="shared" si="27"/>
        <v>0</v>
      </c>
      <c r="F42" t="b">
        <f t="shared" si="27"/>
        <v>0</v>
      </c>
      <c r="G42" t="b">
        <f t="shared" si="27"/>
        <v>0</v>
      </c>
      <c r="H42" t="b">
        <f t="shared" si="27"/>
        <v>0</v>
      </c>
      <c r="I42" t="b">
        <f t="shared" si="27"/>
        <v>1</v>
      </c>
      <c r="J42" t="b">
        <f t="shared" si="27"/>
        <v>0</v>
      </c>
      <c r="K42" t="b">
        <f t="shared" si="27"/>
        <v>0</v>
      </c>
      <c r="M42" t="b">
        <f t="shared" si="18"/>
        <v>1</v>
      </c>
      <c r="N42" t="b">
        <f t="shared" si="19"/>
        <v>0</v>
      </c>
      <c r="O42" t="b">
        <f t="shared" si="20"/>
        <v>0</v>
      </c>
      <c r="P42" t="b">
        <f t="shared" si="21"/>
        <v>0</v>
      </c>
      <c r="Q42" t="b">
        <f t="shared" si="22"/>
        <v>0</v>
      </c>
      <c r="R42" t="b">
        <f t="shared" si="23"/>
        <v>0</v>
      </c>
      <c r="S42" t="b">
        <f t="shared" si="24"/>
        <v>0</v>
      </c>
      <c r="T42" t="b">
        <f t="shared" si="25"/>
        <v>0</v>
      </c>
      <c r="V42" t="s">
        <v>12</v>
      </c>
      <c r="W42">
        <v>11</v>
      </c>
      <c r="X42">
        <f t="shared" si="26"/>
        <v>11</v>
      </c>
    </row>
    <row r="43" spans="2:24">
      <c r="B43" t="s">
        <v>59</v>
      </c>
      <c r="D43" t="b">
        <f t="shared" si="27"/>
        <v>0</v>
      </c>
      <c r="E43" t="b">
        <f t="shared" si="27"/>
        <v>0</v>
      </c>
      <c r="F43" t="b">
        <f t="shared" si="27"/>
        <v>0</v>
      </c>
      <c r="G43" t="b">
        <f t="shared" si="27"/>
        <v>0</v>
      </c>
      <c r="H43" t="b">
        <f t="shared" si="27"/>
        <v>0</v>
      </c>
      <c r="I43" t="b">
        <f t="shared" si="27"/>
        <v>1</v>
      </c>
      <c r="J43" t="b">
        <f t="shared" si="27"/>
        <v>0</v>
      </c>
      <c r="K43" t="b">
        <f t="shared" si="27"/>
        <v>0</v>
      </c>
      <c r="M43" t="b">
        <f t="shared" si="18"/>
        <v>0</v>
      </c>
      <c r="N43" t="b">
        <f t="shared" si="19"/>
        <v>1</v>
      </c>
      <c r="O43" t="b">
        <f t="shared" si="20"/>
        <v>0</v>
      </c>
      <c r="P43" t="b">
        <f t="shared" si="21"/>
        <v>0</v>
      </c>
      <c r="Q43" t="b">
        <f t="shared" si="22"/>
        <v>0</v>
      </c>
      <c r="R43" t="b">
        <f t="shared" si="23"/>
        <v>0</v>
      </c>
      <c r="S43" t="b">
        <f t="shared" si="24"/>
        <v>0</v>
      </c>
      <c r="T43" t="b">
        <f t="shared" si="25"/>
        <v>0</v>
      </c>
      <c r="V43" t="s">
        <v>12</v>
      </c>
      <c r="W43">
        <v>12</v>
      </c>
      <c r="X43">
        <f t="shared" si="26"/>
        <v>12</v>
      </c>
    </row>
    <row r="44" spans="2:24">
      <c r="B44" t="s">
        <v>60</v>
      </c>
      <c r="D44" t="b">
        <f t="shared" si="27"/>
        <v>0</v>
      </c>
      <c r="E44" t="b">
        <f t="shared" si="27"/>
        <v>0</v>
      </c>
      <c r="F44" t="b">
        <f t="shared" si="27"/>
        <v>0</v>
      </c>
      <c r="G44" t="b">
        <f t="shared" si="27"/>
        <v>0</v>
      </c>
      <c r="H44" t="b">
        <f t="shared" si="27"/>
        <v>0</v>
      </c>
      <c r="I44" t="b">
        <f t="shared" si="27"/>
        <v>1</v>
      </c>
      <c r="J44" t="b">
        <f t="shared" si="27"/>
        <v>0</v>
      </c>
      <c r="K44" t="b">
        <f t="shared" si="27"/>
        <v>0</v>
      </c>
      <c r="M44" t="b">
        <f t="shared" si="18"/>
        <v>0</v>
      </c>
      <c r="N44" t="b">
        <f t="shared" si="19"/>
        <v>0</v>
      </c>
      <c r="O44" t="b">
        <f t="shared" si="20"/>
        <v>1</v>
      </c>
      <c r="P44" t="b">
        <f t="shared" si="21"/>
        <v>0</v>
      </c>
      <c r="Q44" t="b">
        <f t="shared" si="22"/>
        <v>0</v>
      </c>
      <c r="R44" t="b">
        <f t="shared" si="23"/>
        <v>0</v>
      </c>
      <c r="S44" t="b">
        <f t="shared" si="24"/>
        <v>0</v>
      </c>
      <c r="T44" t="b">
        <f t="shared" si="25"/>
        <v>0</v>
      </c>
      <c r="V44" t="s">
        <v>12</v>
      </c>
      <c r="W44">
        <v>14</v>
      </c>
      <c r="X44">
        <f t="shared" si="26"/>
        <v>14</v>
      </c>
    </row>
    <row r="45" spans="2:24">
      <c r="B45" t="s">
        <v>61</v>
      </c>
      <c r="D45" t="b">
        <f t="shared" si="27"/>
        <v>0</v>
      </c>
      <c r="E45" t="b">
        <f t="shared" si="27"/>
        <v>0</v>
      </c>
      <c r="F45" t="b">
        <f t="shared" si="27"/>
        <v>0</v>
      </c>
      <c r="G45" t="b">
        <f t="shared" si="27"/>
        <v>0</v>
      </c>
      <c r="H45" t="b">
        <f t="shared" si="27"/>
        <v>0</v>
      </c>
      <c r="I45" t="b">
        <f t="shared" si="27"/>
        <v>1</v>
      </c>
      <c r="J45" t="b">
        <f t="shared" si="27"/>
        <v>0</v>
      </c>
      <c r="K45" t="b">
        <f t="shared" si="27"/>
        <v>0</v>
      </c>
      <c r="M45" t="b">
        <f t="shared" si="18"/>
        <v>0</v>
      </c>
      <c r="N45" t="b">
        <f t="shared" si="19"/>
        <v>0</v>
      </c>
      <c r="O45" t="b">
        <f t="shared" si="20"/>
        <v>0</v>
      </c>
      <c r="P45" t="b">
        <f t="shared" si="21"/>
        <v>1</v>
      </c>
      <c r="Q45" t="b">
        <f t="shared" si="22"/>
        <v>0</v>
      </c>
      <c r="R45" t="b">
        <f t="shared" si="23"/>
        <v>0</v>
      </c>
      <c r="S45" t="b">
        <f t="shared" si="24"/>
        <v>0</v>
      </c>
      <c r="T45" t="b">
        <f t="shared" si="25"/>
        <v>0</v>
      </c>
      <c r="V45" t="s">
        <v>12</v>
      </c>
      <c r="W45">
        <v>10</v>
      </c>
      <c r="X45">
        <f t="shared" si="26"/>
        <v>10</v>
      </c>
    </row>
    <row r="46" spans="2:24">
      <c r="B46" t="s">
        <v>62</v>
      </c>
      <c r="D46" t="b">
        <f t="shared" si="27"/>
        <v>0</v>
      </c>
      <c r="E46" t="b">
        <f t="shared" si="27"/>
        <v>0</v>
      </c>
      <c r="F46" t="b">
        <f t="shared" si="27"/>
        <v>0</v>
      </c>
      <c r="G46" t="b">
        <f t="shared" si="27"/>
        <v>0</v>
      </c>
      <c r="H46" t="b">
        <f t="shared" si="27"/>
        <v>0</v>
      </c>
      <c r="I46" t="b">
        <f t="shared" si="27"/>
        <v>1</v>
      </c>
      <c r="J46" t="b">
        <f t="shared" si="27"/>
        <v>0</v>
      </c>
      <c r="K46" t="b">
        <f t="shared" si="27"/>
        <v>0</v>
      </c>
      <c r="M46" t="b">
        <f t="shared" si="18"/>
        <v>0</v>
      </c>
      <c r="N46" t="b">
        <f t="shared" si="19"/>
        <v>0</v>
      </c>
      <c r="O46" t="b">
        <f t="shared" si="20"/>
        <v>0</v>
      </c>
      <c r="P46" t="b">
        <f t="shared" si="21"/>
        <v>0</v>
      </c>
      <c r="Q46" t="b">
        <f t="shared" si="22"/>
        <v>1</v>
      </c>
      <c r="R46" t="b">
        <f t="shared" si="23"/>
        <v>0</v>
      </c>
      <c r="S46" t="b">
        <f t="shared" si="24"/>
        <v>0</v>
      </c>
      <c r="T46" t="b">
        <f t="shared" si="25"/>
        <v>0</v>
      </c>
      <c r="V46" t="s">
        <v>12</v>
      </c>
      <c r="W46">
        <v>11</v>
      </c>
      <c r="X46">
        <f t="shared" si="26"/>
        <v>11</v>
      </c>
    </row>
    <row r="47" spans="2:24">
      <c r="B47" t="s">
        <v>63</v>
      </c>
      <c r="D47" t="b">
        <f t="shared" si="27"/>
        <v>0</v>
      </c>
      <c r="E47" t="b">
        <f t="shared" si="27"/>
        <v>0</v>
      </c>
      <c r="F47" t="b">
        <f t="shared" si="27"/>
        <v>0</v>
      </c>
      <c r="G47" t="b">
        <f t="shared" si="27"/>
        <v>0</v>
      </c>
      <c r="H47" t="b">
        <f t="shared" si="27"/>
        <v>0</v>
      </c>
      <c r="I47" t="b">
        <f t="shared" si="27"/>
        <v>1</v>
      </c>
      <c r="J47" t="b">
        <f t="shared" si="27"/>
        <v>0</v>
      </c>
      <c r="K47" t="b">
        <f t="shared" si="27"/>
        <v>0</v>
      </c>
      <c r="M47" t="b">
        <f t="shared" si="18"/>
        <v>0</v>
      </c>
      <c r="N47" t="b">
        <f t="shared" si="19"/>
        <v>0</v>
      </c>
      <c r="O47" t="b">
        <f t="shared" si="20"/>
        <v>0</v>
      </c>
      <c r="P47" t="b">
        <f t="shared" si="21"/>
        <v>0</v>
      </c>
      <c r="Q47" t="b">
        <f t="shared" si="22"/>
        <v>0</v>
      </c>
      <c r="R47" t="b">
        <f t="shared" si="23"/>
        <v>1</v>
      </c>
      <c r="S47" t="b">
        <f t="shared" si="24"/>
        <v>0</v>
      </c>
      <c r="T47" t="b">
        <f t="shared" si="25"/>
        <v>0</v>
      </c>
      <c r="V47" t="s">
        <v>12</v>
      </c>
      <c r="W47">
        <v>8</v>
      </c>
      <c r="X47">
        <f t="shared" si="26"/>
        <v>8</v>
      </c>
    </row>
    <row r="48" spans="2:24">
      <c r="B48" t="s">
        <v>64</v>
      </c>
      <c r="D48" t="b">
        <f t="shared" si="27"/>
        <v>0</v>
      </c>
      <c r="E48" t="b">
        <f t="shared" si="27"/>
        <v>0</v>
      </c>
      <c r="F48" t="b">
        <f t="shared" si="27"/>
        <v>0</v>
      </c>
      <c r="G48" t="b">
        <f t="shared" si="27"/>
        <v>0</v>
      </c>
      <c r="H48" t="b">
        <f t="shared" si="27"/>
        <v>0</v>
      </c>
      <c r="I48" t="b">
        <f t="shared" si="27"/>
        <v>1</v>
      </c>
      <c r="J48" t="b">
        <f t="shared" si="27"/>
        <v>0</v>
      </c>
      <c r="K48" t="b">
        <f t="shared" si="27"/>
        <v>0</v>
      </c>
      <c r="M48" t="b">
        <f t="shared" si="18"/>
        <v>0</v>
      </c>
      <c r="N48" t="b">
        <f t="shared" si="19"/>
        <v>0</v>
      </c>
      <c r="O48" t="b">
        <f t="shared" si="20"/>
        <v>0</v>
      </c>
      <c r="P48" t="b">
        <f t="shared" si="21"/>
        <v>0</v>
      </c>
      <c r="Q48" t="b">
        <f t="shared" si="22"/>
        <v>0</v>
      </c>
      <c r="R48" t="b">
        <f t="shared" si="23"/>
        <v>0</v>
      </c>
      <c r="S48" t="b">
        <f t="shared" si="24"/>
        <v>1</v>
      </c>
      <c r="T48" t="b">
        <f t="shared" si="25"/>
        <v>0</v>
      </c>
      <c r="V48" t="s">
        <v>12</v>
      </c>
      <c r="W48">
        <v>9</v>
      </c>
      <c r="X48">
        <f t="shared" si="26"/>
        <v>9</v>
      </c>
    </row>
    <row r="49" spans="2:24">
      <c r="B49" t="s">
        <v>65</v>
      </c>
      <c r="D49" t="b">
        <f t="shared" si="27"/>
        <v>0</v>
      </c>
      <c r="E49" t="b">
        <f t="shared" si="27"/>
        <v>0</v>
      </c>
      <c r="F49" t="b">
        <f t="shared" si="27"/>
        <v>0</v>
      </c>
      <c r="G49" t="b">
        <f t="shared" si="27"/>
        <v>0</v>
      </c>
      <c r="H49" t="b">
        <f t="shared" si="27"/>
        <v>0</v>
      </c>
      <c r="I49" t="b">
        <f t="shared" si="27"/>
        <v>1</v>
      </c>
      <c r="J49" t="b">
        <f t="shared" si="27"/>
        <v>0</v>
      </c>
      <c r="K49" t="b">
        <f t="shared" si="27"/>
        <v>0</v>
      </c>
      <c r="M49" t="b">
        <f t="shared" si="18"/>
        <v>0</v>
      </c>
      <c r="N49" t="b">
        <f t="shared" si="19"/>
        <v>0</v>
      </c>
      <c r="O49" t="b">
        <f t="shared" si="20"/>
        <v>0</v>
      </c>
      <c r="P49" t="b">
        <f t="shared" si="21"/>
        <v>0</v>
      </c>
      <c r="Q49" t="b">
        <f t="shared" si="22"/>
        <v>0</v>
      </c>
      <c r="R49" t="b">
        <f t="shared" si="23"/>
        <v>0</v>
      </c>
      <c r="S49" t="b">
        <f t="shared" si="24"/>
        <v>0</v>
      </c>
      <c r="T49" t="b">
        <f t="shared" si="25"/>
        <v>1</v>
      </c>
      <c r="V49" t="s">
        <v>12</v>
      </c>
      <c r="W49">
        <v>10</v>
      </c>
      <c r="X49">
        <f t="shared" si="26"/>
        <v>10</v>
      </c>
    </row>
    <row r="50" spans="2:24">
      <c r="B50" t="s">
        <v>66</v>
      </c>
      <c r="D50" t="b">
        <f t="shared" si="27"/>
        <v>0</v>
      </c>
      <c r="E50" t="b">
        <f t="shared" si="27"/>
        <v>0</v>
      </c>
      <c r="F50" t="b">
        <f t="shared" si="27"/>
        <v>0</v>
      </c>
      <c r="G50" t="b">
        <f t="shared" si="27"/>
        <v>0</v>
      </c>
      <c r="H50" t="b">
        <f t="shared" si="27"/>
        <v>0</v>
      </c>
      <c r="I50" t="b">
        <f t="shared" si="27"/>
        <v>0</v>
      </c>
      <c r="J50" t="b">
        <f t="shared" si="27"/>
        <v>1</v>
      </c>
      <c r="K50" t="b">
        <f t="shared" si="27"/>
        <v>0</v>
      </c>
      <c r="M50" t="b">
        <f t="shared" si="18"/>
        <v>1</v>
      </c>
      <c r="N50" t="b">
        <f t="shared" si="19"/>
        <v>0</v>
      </c>
      <c r="O50" t="b">
        <f t="shared" si="20"/>
        <v>0</v>
      </c>
      <c r="P50" t="b">
        <f t="shared" si="21"/>
        <v>0</v>
      </c>
      <c r="Q50" t="b">
        <f t="shared" si="22"/>
        <v>0</v>
      </c>
      <c r="R50" t="b">
        <f t="shared" si="23"/>
        <v>0</v>
      </c>
      <c r="S50" t="b">
        <f t="shared" si="24"/>
        <v>0</v>
      </c>
      <c r="T50" t="b">
        <f t="shared" si="25"/>
        <v>0</v>
      </c>
      <c r="V50" t="s">
        <v>18</v>
      </c>
      <c r="W50">
        <v>15</v>
      </c>
      <c r="X50">
        <f t="shared" si="26"/>
        <v>25</v>
      </c>
    </row>
    <row r="51" spans="2:24">
      <c r="B51" t="s">
        <v>67</v>
      </c>
      <c r="D51" t="b">
        <f t="shared" si="27"/>
        <v>0</v>
      </c>
      <c r="E51" t="b">
        <f t="shared" si="27"/>
        <v>0</v>
      </c>
      <c r="F51" t="b">
        <f t="shared" si="27"/>
        <v>0</v>
      </c>
      <c r="G51" t="b">
        <f t="shared" si="27"/>
        <v>0</v>
      </c>
      <c r="H51" t="b">
        <f t="shared" si="27"/>
        <v>0</v>
      </c>
      <c r="I51" t="b">
        <f t="shared" si="27"/>
        <v>0</v>
      </c>
      <c r="J51" t="b">
        <f t="shared" si="27"/>
        <v>1</v>
      </c>
      <c r="K51" t="b">
        <f t="shared" si="27"/>
        <v>0</v>
      </c>
      <c r="M51" t="b">
        <f t="shared" si="18"/>
        <v>0</v>
      </c>
      <c r="N51" t="b">
        <f t="shared" si="19"/>
        <v>1</v>
      </c>
      <c r="O51" t="b">
        <f t="shared" si="20"/>
        <v>0</v>
      </c>
      <c r="P51" t="b">
        <f t="shared" si="21"/>
        <v>0</v>
      </c>
      <c r="Q51" t="b">
        <f t="shared" si="22"/>
        <v>0</v>
      </c>
      <c r="R51" t="b">
        <f t="shared" si="23"/>
        <v>0</v>
      </c>
      <c r="S51" t="b">
        <f t="shared" si="24"/>
        <v>0</v>
      </c>
      <c r="T51" t="b">
        <f t="shared" si="25"/>
        <v>0</v>
      </c>
      <c r="V51" t="s">
        <v>12</v>
      </c>
      <c r="W51">
        <v>16</v>
      </c>
      <c r="X51">
        <f t="shared" si="26"/>
        <v>16</v>
      </c>
    </row>
    <row r="52" spans="2:24">
      <c r="B52" t="s">
        <v>68</v>
      </c>
      <c r="D52" t="b">
        <f t="shared" ref="D52:K65" si="28">ISNUMBER(SEARCH(_xlfn.CONCAT(D$1,"_"),$B52))</f>
        <v>0</v>
      </c>
      <c r="E52" t="b">
        <f t="shared" si="28"/>
        <v>0</v>
      </c>
      <c r="F52" t="b">
        <f t="shared" si="28"/>
        <v>0</v>
      </c>
      <c r="G52" t="b">
        <f t="shared" si="28"/>
        <v>0</v>
      </c>
      <c r="H52" t="b">
        <f t="shared" si="28"/>
        <v>0</v>
      </c>
      <c r="I52" t="b">
        <f t="shared" si="28"/>
        <v>0</v>
      </c>
      <c r="J52" t="b">
        <f t="shared" si="28"/>
        <v>1</v>
      </c>
      <c r="K52" t="b">
        <f t="shared" si="28"/>
        <v>0</v>
      </c>
      <c r="M52" t="b">
        <f t="shared" si="18"/>
        <v>0</v>
      </c>
      <c r="N52" t="b">
        <f t="shared" si="19"/>
        <v>0</v>
      </c>
      <c r="O52" t="b">
        <f t="shared" si="20"/>
        <v>1</v>
      </c>
      <c r="P52" t="b">
        <f t="shared" si="21"/>
        <v>0</v>
      </c>
      <c r="Q52" t="b">
        <f t="shared" si="22"/>
        <v>0</v>
      </c>
      <c r="R52" t="b">
        <f t="shared" si="23"/>
        <v>0</v>
      </c>
      <c r="S52" t="b">
        <f t="shared" si="24"/>
        <v>0</v>
      </c>
      <c r="T52" t="b">
        <f t="shared" si="25"/>
        <v>0</v>
      </c>
      <c r="V52" t="s">
        <v>18</v>
      </c>
      <c r="W52">
        <v>10</v>
      </c>
      <c r="X52">
        <f t="shared" si="26"/>
        <v>25</v>
      </c>
    </row>
    <row r="53" spans="2:24">
      <c r="B53" t="s">
        <v>69</v>
      </c>
      <c r="D53" t="b">
        <f t="shared" si="28"/>
        <v>0</v>
      </c>
      <c r="E53" t="b">
        <f t="shared" si="28"/>
        <v>0</v>
      </c>
      <c r="F53" t="b">
        <f t="shared" si="28"/>
        <v>0</v>
      </c>
      <c r="G53" t="b">
        <f t="shared" si="28"/>
        <v>0</v>
      </c>
      <c r="H53" t="b">
        <f t="shared" si="28"/>
        <v>0</v>
      </c>
      <c r="I53" t="b">
        <f t="shared" si="28"/>
        <v>0</v>
      </c>
      <c r="J53" t="b">
        <f t="shared" si="28"/>
        <v>1</v>
      </c>
      <c r="K53" t="b">
        <f t="shared" si="28"/>
        <v>0</v>
      </c>
      <c r="M53" t="b">
        <f t="shared" si="18"/>
        <v>0</v>
      </c>
      <c r="N53" t="b">
        <f t="shared" si="19"/>
        <v>0</v>
      </c>
      <c r="O53" t="b">
        <f t="shared" si="20"/>
        <v>0</v>
      </c>
      <c r="P53" t="b">
        <f t="shared" si="21"/>
        <v>1</v>
      </c>
      <c r="Q53" t="b">
        <f t="shared" si="22"/>
        <v>0</v>
      </c>
      <c r="R53" t="b">
        <f t="shared" si="23"/>
        <v>0</v>
      </c>
      <c r="S53" t="b">
        <f t="shared" si="24"/>
        <v>0</v>
      </c>
      <c r="T53" t="b">
        <f t="shared" si="25"/>
        <v>0</v>
      </c>
      <c r="V53" t="s">
        <v>12</v>
      </c>
      <c r="W53">
        <v>15</v>
      </c>
      <c r="X53">
        <f t="shared" si="26"/>
        <v>15</v>
      </c>
    </row>
    <row r="54" spans="2:24">
      <c r="B54" t="s">
        <v>70</v>
      </c>
      <c r="D54" t="b">
        <f t="shared" si="28"/>
        <v>0</v>
      </c>
      <c r="E54" t="b">
        <f t="shared" si="28"/>
        <v>0</v>
      </c>
      <c r="F54" t="b">
        <f t="shared" si="28"/>
        <v>0</v>
      </c>
      <c r="G54" t="b">
        <f t="shared" si="28"/>
        <v>0</v>
      </c>
      <c r="H54" t="b">
        <f t="shared" si="28"/>
        <v>0</v>
      </c>
      <c r="I54" t="b">
        <f t="shared" si="28"/>
        <v>0</v>
      </c>
      <c r="J54" t="b">
        <f t="shared" si="28"/>
        <v>1</v>
      </c>
      <c r="K54" t="b">
        <f t="shared" si="28"/>
        <v>0</v>
      </c>
      <c r="M54" t="b">
        <f t="shared" si="18"/>
        <v>0</v>
      </c>
      <c r="N54" t="b">
        <f t="shared" si="19"/>
        <v>0</v>
      </c>
      <c r="O54" t="b">
        <f t="shared" si="20"/>
        <v>0</v>
      </c>
      <c r="P54" t="b">
        <f t="shared" si="21"/>
        <v>0</v>
      </c>
      <c r="Q54" t="b">
        <f t="shared" si="22"/>
        <v>1</v>
      </c>
      <c r="R54" t="b">
        <f t="shared" si="23"/>
        <v>0</v>
      </c>
      <c r="S54" t="b">
        <f t="shared" si="24"/>
        <v>0</v>
      </c>
      <c r="T54" t="b">
        <f t="shared" si="25"/>
        <v>0</v>
      </c>
      <c r="V54" t="s">
        <v>18</v>
      </c>
      <c r="W54">
        <v>6</v>
      </c>
      <c r="X54">
        <f t="shared" si="26"/>
        <v>25</v>
      </c>
    </row>
    <row r="55" spans="2:24">
      <c r="B55" t="s">
        <v>71</v>
      </c>
      <c r="D55" t="b">
        <f t="shared" si="28"/>
        <v>0</v>
      </c>
      <c r="E55" t="b">
        <f t="shared" si="28"/>
        <v>0</v>
      </c>
      <c r="F55" t="b">
        <f t="shared" si="28"/>
        <v>0</v>
      </c>
      <c r="G55" t="b">
        <f t="shared" si="28"/>
        <v>0</v>
      </c>
      <c r="H55" t="b">
        <f t="shared" si="28"/>
        <v>0</v>
      </c>
      <c r="I55" t="b">
        <f t="shared" si="28"/>
        <v>0</v>
      </c>
      <c r="J55" t="b">
        <f t="shared" si="28"/>
        <v>1</v>
      </c>
      <c r="K55" t="b">
        <f t="shared" si="28"/>
        <v>0</v>
      </c>
      <c r="M55" t="b">
        <f t="shared" si="18"/>
        <v>0</v>
      </c>
      <c r="N55" t="b">
        <f t="shared" si="19"/>
        <v>0</v>
      </c>
      <c r="O55" t="b">
        <f t="shared" si="20"/>
        <v>0</v>
      </c>
      <c r="P55" t="b">
        <f t="shared" si="21"/>
        <v>0</v>
      </c>
      <c r="Q55" t="b">
        <f t="shared" si="22"/>
        <v>0</v>
      </c>
      <c r="R55" t="b">
        <f t="shared" si="23"/>
        <v>1</v>
      </c>
      <c r="S55" t="b">
        <f t="shared" si="24"/>
        <v>0</v>
      </c>
      <c r="T55" t="b">
        <f t="shared" si="25"/>
        <v>0</v>
      </c>
      <c r="V55" t="s">
        <v>18</v>
      </c>
      <c r="W55">
        <v>8</v>
      </c>
      <c r="X55">
        <f t="shared" si="26"/>
        <v>25</v>
      </c>
    </row>
    <row r="56" spans="2:24">
      <c r="B56" t="s">
        <v>72</v>
      </c>
      <c r="D56" t="b">
        <f t="shared" si="28"/>
        <v>0</v>
      </c>
      <c r="E56" t="b">
        <f t="shared" si="28"/>
        <v>0</v>
      </c>
      <c r="F56" t="b">
        <f t="shared" si="28"/>
        <v>0</v>
      </c>
      <c r="G56" t="b">
        <f t="shared" si="28"/>
        <v>0</v>
      </c>
      <c r="H56" t="b">
        <f t="shared" si="28"/>
        <v>0</v>
      </c>
      <c r="I56" t="b">
        <f t="shared" si="28"/>
        <v>0</v>
      </c>
      <c r="J56" t="b">
        <f t="shared" si="28"/>
        <v>1</v>
      </c>
      <c r="K56" t="b">
        <f t="shared" si="28"/>
        <v>0</v>
      </c>
      <c r="M56" t="b">
        <f t="shared" si="18"/>
        <v>0</v>
      </c>
      <c r="N56" t="b">
        <f t="shared" si="19"/>
        <v>0</v>
      </c>
      <c r="O56" t="b">
        <f t="shared" si="20"/>
        <v>0</v>
      </c>
      <c r="P56" t="b">
        <f t="shared" si="21"/>
        <v>0</v>
      </c>
      <c r="Q56" t="b">
        <f t="shared" si="22"/>
        <v>0</v>
      </c>
      <c r="R56" t="b">
        <f t="shared" si="23"/>
        <v>0</v>
      </c>
      <c r="S56" t="b">
        <f t="shared" si="24"/>
        <v>1</v>
      </c>
      <c r="T56" t="b">
        <f t="shared" si="25"/>
        <v>0</v>
      </c>
      <c r="V56" t="s">
        <v>12</v>
      </c>
      <c r="W56">
        <v>2</v>
      </c>
      <c r="X56">
        <f t="shared" si="26"/>
        <v>2</v>
      </c>
    </row>
    <row r="57" spans="2:24">
      <c r="B57" t="s">
        <v>73</v>
      </c>
      <c r="D57" t="b">
        <f t="shared" si="28"/>
        <v>0</v>
      </c>
      <c r="E57" t="b">
        <f t="shared" si="28"/>
        <v>0</v>
      </c>
      <c r="F57" t="b">
        <f t="shared" si="28"/>
        <v>0</v>
      </c>
      <c r="G57" t="b">
        <f t="shared" si="28"/>
        <v>0</v>
      </c>
      <c r="H57" t="b">
        <f t="shared" si="28"/>
        <v>0</v>
      </c>
      <c r="I57" t="b">
        <f t="shared" si="28"/>
        <v>0</v>
      </c>
      <c r="J57" t="b">
        <f t="shared" si="28"/>
        <v>1</v>
      </c>
      <c r="K57" t="b">
        <f t="shared" si="28"/>
        <v>0</v>
      </c>
      <c r="M57" t="b">
        <f t="shared" si="18"/>
        <v>0</v>
      </c>
      <c r="N57" t="b">
        <f t="shared" si="19"/>
        <v>0</v>
      </c>
      <c r="O57" t="b">
        <f t="shared" si="20"/>
        <v>0</v>
      </c>
      <c r="P57" t="b">
        <f t="shared" si="21"/>
        <v>0</v>
      </c>
      <c r="Q57" t="b">
        <f t="shared" si="22"/>
        <v>0</v>
      </c>
      <c r="R57" t="b">
        <f t="shared" si="23"/>
        <v>0</v>
      </c>
      <c r="S57" t="b">
        <f t="shared" si="24"/>
        <v>0</v>
      </c>
      <c r="T57" t="b">
        <f t="shared" si="25"/>
        <v>1</v>
      </c>
      <c r="V57" t="s">
        <v>12</v>
      </c>
      <c r="W57">
        <v>11</v>
      </c>
      <c r="X57">
        <f t="shared" si="26"/>
        <v>11</v>
      </c>
    </row>
    <row r="58" spans="2:24">
      <c r="B58" t="s">
        <v>74</v>
      </c>
      <c r="D58" t="b">
        <f t="shared" si="28"/>
        <v>0</v>
      </c>
      <c r="E58" t="b">
        <f t="shared" si="28"/>
        <v>0</v>
      </c>
      <c r="F58" t="b">
        <f t="shared" si="28"/>
        <v>0</v>
      </c>
      <c r="G58" t="b">
        <f t="shared" si="28"/>
        <v>0</v>
      </c>
      <c r="H58" t="b">
        <f t="shared" si="28"/>
        <v>0</v>
      </c>
      <c r="I58" t="b">
        <f t="shared" si="28"/>
        <v>0</v>
      </c>
      <c r="J58" t="b">
        <f t="shared" si="28"/>
        <v>0</v>
      </c>
      <c r="K58" t="b">
        <f t="shared" si="28"/>
        <v>1</v>
      </c>
      <c r="M58" t="b">
        <f t="shared" si="18"/>
        <v>1</v>
      </c>
      <c r="N58" t="b">
        <f t="shared" si="19"/>
        <v>0</v>
      </c>
      <c r="O58" t="b">
        <f t="shared" si="20"/>
        <v>0</v>
      </c>
      <c r="P58" t="b">
        <f t="shared" si="21"/>
        <v>0</v>
      </c>
      <c r="Q58" t="b">
        <f t="shared" si="22"/>
        <v>0</v>
      </c>
      <c r="R58" t="b">
        <f t="shared" si="23"/>
        <v>0</v>
      </c>
      <c r="S58" t="b">
        <f t="shared" si="24"/>
        <v>0</v>
      </c>
      <c r="T58" t="b">
        <f t="shared" si="25"/>
        <v>0</v>
      </c>
      <c r="V58" t="s">
        <v>18</v>
      </c>
      <c r="W58">
        <v>16</v>
      </c>
      <c r="X58">
        <f t="shared" si="26"/>
        <v>25</v>
      </c>
    </row>
    <row r="59" spans="2:24">
      <c r="B59" t="s">
        <v>75</v>
      </c>
      <c r="D59" t="b">
        <f t="shared" si="28"/>
        <v>0</v>
      </c>
      <c r="E59" t="b">
        <f t="shared" si="28"/>
        <v>0</v>
      </c>
      <c r="F59" t="b">
        <f t="shared" si="28"/>
        <v>0</v>
      </c>
      <c r="G59" t="b">
        <f t="shared" si="28"/>
        <v>0</v>
      </c>
      <c r="H59" t="b">
        <f t="shared" si="28"/>
        <v>0</v>
      </c>
      <c r="I59" t="b">
        <f t="shared" si="28"/>
        <v>0</v>
      </c>
      <c r="J59" t="b">
        <f t="shared" si="28"/>
        <v>0</v>
      </c>
      <c r="K59" t="b">
        <f t="shared" si="28"/>
        <v>1</v>
      </c>
      <c r="M59" t="b">
        <f t="shared" si="18"/>
        <v>0</v>
      </c>
      <c r="N59" t="b">
        <f t="shared" si="19"/>
        <v>1</v>
      </c>
      <c r="O59" t="b">
        <f t="shared" si="20"/>
        <v>0</v>
      </c>
      <c r="P59" t="b">
        <f t="shared" si="21"/>
        <v>0</v>
      </c>
      <c r="Q59" t="b">
        <f t="shared" si="22"/>
        <v>0</v>
      </c>
      <c r="R59" t="b">
        <f t="shared" si="23"/>
        <v>0</v>
      </c>
      <c r="S59" t="b">
        <f t="shared" si="24"/>
        <v>0</v>
      </c>
      <c r="T59" t="b">
        <f t="shared" si="25"/>
        <v>0</v>
      </c>
      <c r="V59" t="s">
        <v>18</v>
      </c>
      <c r="W59">
        <v>17</v>
      </c>
      <c r="X59">
        <f t="shared" si="26"/>
        <v>25</v>
      </c>
    </row>
    <row r="60" spans="2:24">
      <c r="B60" t="s">
        <v>76</v>
      </c>
      <c r="D60" t="b">
        <f t="shared" si="28"/>
        <v>0</v>
      </c>
      <c r="E60" t="b">
        <f t="shared" si="28"/>
        <v>0</v>
      </c>
      <c r="F60" t="b">
        <f t="shared" si="28"/>
        <v>0</v>
      </c>
      <c r="G60" t="b">
        <f t="shared" si="28"/>
        <v>0</v>
      </c>
      <c r="H60" t="b">
        <f t="shared" si="28"/>
        <v>0</v>
      </c>
      <c r="I60" t="b">
        <f t="shared" si="28"/>
        <v>0</v>
      </c>
      <c r="J60" t="b">
        <f t="shared" si="28"/>
        <v>0</v>
      </c>
      <c r="K60" t="b">
        <f t="shared" si="28"/>
        <v>1</v>
      </c>
      <c r="M60" t="b">
        <f t="shared" si="18"/>
        <v>0</v>
      </c>
      <c r="N60" t="b">
        <f t="shared" si="19"/>
        <v>0</v>
      </c>
      <c r="O60" t="b">
        <f t="shared" si="20"/>
        <v>1</v>
      </c>
      <c r="P60" t="b">
        <f t="shared" si="21"/>
        <v>0</v>
      </c>
      <c r="Q60" t="b">
        <f t="shared" si="22"/>
        <v>0</v>
      </c>
      <c r="R60" t="b">
        <f t="shared" si="23"/>
        <v>0</v>
      </c>
      <c r="S60" t="b">
        <f t="shared" si="24"/>
        <v>0</v>
      </c>
      <c r="T60" t="b">
        <f t="shared" si="25"/>
        <v>0</v>
      </c>
      <c r="V60" t="s">
        <v>18</v>
      </c>
      <c r="W60">
        <v>6</v>
      </c>
      <c r="X60">
        <f t="shared" si="26"/>
        <v>25</v>
      </c>
    </row>
    <row r="61" spans="2:24">
      <c r="B61" t="s">
        <v>77</v>
      </c>
      <c r="D61" t="b">
        <f t="shared" si="28"/>
        <v>0</v>
      </c>
      <c r="E61" t="b">
        <f t="shared" si="28"/>
        <v>0</v>
      </c>
      <c r="F61" t="b">
        <f t="shared" si="28"/>
        <v>0</v>
      </c>
      <c r="G61" t="b">
        <f t="shared" si="28"/>
        <v>0</v>
      </c>
      <c r="H61" t="b">
        <f t="shared" si="28"/>
        <v>0</v>
      </c>
      <c r="I61" t="b">
        <f t="shared" si="28"/>
        <v>0</v>
      </c>
      <c r="J61" t="b">
        <f t="shared" si="28"/>
        <v>0</v>
      </c>
      <c r="K61" t="b">
        <f t="shared" si="28"/>
        <v>1</v>
      </c>
      <c r="M61" t="b">
        <f t="shared" si="18"/>
        <v>0</v>
      </c>
      <c r="N61" t="b">
        <f t="shared" si="19"/>
        <v>0</v>
      </c>
      <c r="O61" t="b">
        <f t="shared" si="20"/>
        <v>0</v>
      </c>
      <c r="P61" t="b">
        <f t="shared" si="21"/>
        <v>1</v>
      </c>
      <c r="Q61" t="b">
        <f t="shared" si="22"/>
        <v>0</v>
      </c>
      <c r="R61" t="b">
        <f t="shared" si="23"/>
        <v>0</v>
      </c>
      <c r="S61" t="b">
        <f t="shared" si="24"/>
        <v>0</v>
      </c>
      <c r="T61" t="b">
        <f t="shared" si="25"/>
        <v>0</v>
      </c>
      <c r="V61" t="s">
        <v>12</v>
      </c>
      <c r="W61">
        <v>10</v>
      </c>
      <c r="X61">
        <f t="shared" si="26"/>
        <v>10</v>
      </c>
    </row>
    <row r="62" spans="2:24">
      <c r="B62" t="s">
        <v>78</v>
      </c>
      <c r="D62" t="b">
        <f t="shared" si="28"/>
        <v>0</v>
      </c>
      <c r="E62" t="b">
        <f t="shared" si="28"/>
        <v>0</v>
      </c>
      <c r="F62" t="b">
        <f t="shared" si="28"/>
        <v>0</v>
      </c>
      <c r="G62" t="b">
        <f t="shared" si="28"/>
        <v>0</v>
      </c>
      <c r="H62" t="b">
        <f t="shared" si="28"/>
        <v>0</v>
      </c>
      <c r="I62" t="b">
        <f t="shared" si="28"/>
        <v>0</v>
      </c>
      <c r="J62" t="b">
        <f t="shared" si="28"/>
        <v>0</v>
      </c>
      <c r="K62" t="b">
        <f t="shared" si="28"/>
        <v>1</v>
      </c>
      <c r="M62" t="b">
        <f t="shared" si="18"/>
        <v>0</v>
      </c>
      <c r="N62" t="b">
        <f t="shared" si="19"/>
        <v>0</v>
      </c>
      <c r="O62" t="b">
        <f t="shared" si="20"/>
        <v>0</v>
      </c>
      <c r="P62" t="b">
        <f t="shared" si="21"/>
        <v>0</v>
      </c>
      <c r="Q62" t="b">
        <f t="shared" si="22"/>
        <v>1</v>
      </c>
      <c r="R62" t="b">
        <f t="shared" si="23"/>
        <v>0</v>
      </c>
      <c r="S62" t="b">
        <f t="shared" si="24"/>
        <v>0</v>
      </c>
      <c r="T62" t="b">
        <f t="shared" si="25"/>
        <v>0</v>
      </c>
      <c r="V62" t="s">
        <v>18</v>
      </c>
      <c r="W62">
        <v>5</v>
      </c>
      <c r="X62">
        <f t="shared" si="26"/>
        <v>25</v>
      </c>
    </row>
    <row r="63" spans="2:24">
      <c r="B63" t="s">
        <v>79</v>
      </c>
      <c r="D63" t="b">
        <f t="shared" si="28"/>
        <v>0</v>
      </c>
      <c r="E63" t="b">
        <f t="shared" si="28"/>
        <v>0</v>
      </c>
      <c r="F63" t="b">
        <f t="shared" si="28"/>
        <v>0</v>
      </c>
      <c r="G63" t="b">
        <f t="shared" si="28"/>
        <v>0</v>
      </c>
      <c r="H63" t="b">
        <f t="shared" si="28"/>
        <v>0</v>
      </c>
      <c r="I63" t="b">
        <f t="shared" si="28"/>
        <v>0</v>
      </c>
      <c r="J63" t="b">
        <f t="shared" si="28"/>
        <v>0</v>
      </c>
      <c r="K63" t="b">
        <f t="shared" si="28"/>
        <v>1</v>
      </c>
      <c r="M63" t="b">
        <f t="shared" si="18"/>
        <v>0</v>
      </c>
      <c r="N63" t="b">
        <f t="shared" si="19"/>
        <v>0</v>
      </c>
      <c r="O63" t="b">
        <f t="shared" si="20"/>
        <v>0</v>
      </c>
      <c r="P63" t="b">
        <f t="shared" si="21"/>
        <v>0</v>
      </c>
      <c r="Q63" t="b">
        <f t="shared" si="22"/>
        <v>0</v>
      </c>
      <c r="R63" t="b">
        <f t="shared" si="23"/>
        <v>1</v>
      </c>
      <c r="S63" t="b">
        <f t="shared" si="24"/>
        <v>0</v>
      </c>
      <c r="T63" t="b">
        <f t="shared" si="25"/>
        <v>0</v>
      </c>
      <c r="V63" t="s">
        <v>12</v>
      </c>
      <c r="W63">
        <v>14</v>
      </c>
      <c r="X63">
        <f t="shared" si="26"/>
        <v>14</v>
      </c>
    </row>
    <row r="64" spans="2:24">
      <c r="B64" t="s">
        <v>80</v>
      </c>
      <c r="D64" t="b">
        <f t="shared" si="28"/>
        <v>0</v>
      </c>
      <c r="E64" t="b">
        <f t="shared" si="28"/>
        <v>0</v>
      </c>
      <c r="F64" t="b">
        <f t="shared" si="28"/>
        <v>0</v>
      </c>
      <c r="G64" t="b">
        <f t="shared" si="28"/>
        <v>0</v>
      </c>
      <c r="H64" t="b">
        <f t="shared" si="28"/>
        <v>0</v>
      </c>
      <c r="I64" t="b">
        <f t="shared" si="28"/>
        <v>0</v>
      </c>
      <c r="J64" t="b">
        <f t="shared" si="28"/>
        <v>0</v>
      </c>
      <c r="K64" t="b">
        <f t="shared" si="28"/>
        <v>1</v>
      </c>
      <c r="M64" t="b">
        <f t="shared" si="18"/>
        <v>0</v>
      </c>
      <c r="N64" t="b">
        <f t="shared" si="19"/>
        <v>0</v>
      </c>
      <c r="O64" t="b">
        <f t="shared" si="20"/>
        <v>0</v>
      </c>
      <c r="P64" t="b">
        <f t="shared" si="21"/>
        <v>0</v>
      </c>
      <c r="Q64" t="b">
        <f t="shared" si="22"/>
        <v>0</v>
      </c>
      <c r="R64" t="b">
        <f t="shared" si="23"/>
        <v>0</v>
      </c>
      <c r="S64" t="b">
        <f t="shared" si="24"/>
        <v>1</v>
      </c>
      <c r="T64" t="b">
        <f t="shared" si="25"/>
        <v>0</v>
      </c>
      <c r="V64" t="s">
        <v>18</v>
      </c>
      <c r="W64">
        <v>12</v>
      </c>
      <c r="X64">
        <f t="shared" si="26"/>
        <v>25</v>
      </c>
    </row>
    <row r="65" spans="2:24">
      <c r="B65" t="s">
        <v>81</v>
      </c>
      <c r="D65" t="b">
        <f t="shared" si="28"/>
        <v>0</v>
      </c>
      <c r="E65" t="b">
        <f t="shared" si="28"/>
        <v>0</v>
      </c>
      <c r="F65" t="b">
        <f t="shared" si="28"/>
        <v>0</v>
      </c>
      <c r="G65" t="b">
        <f t="shared" si="28"/>
        <v>0</v>
      </c>
      <c r="H65" t="b">
        <f t="shared" si="28"/>
        <v>0</v>
      </c>
      <c r="I65" t="b">
        <f t="shared" si="28"/>
        <v>0</v>
      </c>
      <c r="J65" t="b">
        <f t="shared" si="28"/>
        <v>0</v>
      </c>
      <c r="K65" t="b">
        <f t="shared" si="28"/>
        <v>1</v>
      </c>
      <c r="M65" t="b">
        <f t="shared" si="18"/>
        <v>0</v>
      </c>
      <c r="N65" t="b">
        <f t="shared" si="19"/>
        <v>0</v>
      </c>
      <c r="O65" t="b">
        <f t="shared" si="20"/>
        <v>0</v>
      </c>
      <c r="P65" t="b">
        <f t="shared" si="21"/>
        <v>0</v>
      </c>
      <c r="Q65" t="b">
        <f t="shared" si="22"/>
        <v>0</v>
      </c>
      <c r="R65" t="b">
        <f t="shared" si="23"/>
        <v>0</v>
      </c>
      <c r="S65" t="b">
        <f t="shared" si="24"/>
        <v>0</v>
      </c>
      <c r="T65" t="b">
        <f t="shared" si="25"/>
        <v>1</v>
      </c>
      <c r="V65" t="s">
        <v>12</v>
      </c>
      <c r="W65">
        <v>2</v>
      </c>
      <c r="X65">
        <f t="shared" si="26"/>
        <v>2</v>
      </c>
    </row>
  </sheetData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Stephenson</cp:lastModifiedBy>
  <cp:revision>7</cp:revision>
  <dcterms:created xsi:type="dcterms:W3CDTF">2025-08-19T08:12:57Z</dcterms:created>
  <dcterms:modified xsi:type="dcterms:W3CDTF">2025-09-02T22:26:17Z</dcterms:modified>
</cp:coreProperties>
</file>